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b02678997e33f4e/Desktop/"/>
    </mc:Choice>
  </mc:AlternateContent>
  <xr:revisionPtr revIDLastSave="41" documentId="8_{3897B16D-C52C-4C0A-AB41-854B82FD37EC}" xr6:coauthVersionLast="47" xr6:coauthVersionMax="47" xr10:uidLastSave="{29A0E002-5FDC-4B7C-8B0D-FAF23B171267}"/>
  <bookViews>
    <workbookView xWindow="-108" yWindow="-108" windowWidth="23256" windowHeight="12576" activeTab="1" xr2:uid="{BDE2B3E2-70E6-49A9-8C3A-3C97D657895B}"/>
  </bookViews>
  <sheets>
    <sheet name="Reconfigured" sheetId="1" r:id="rId1"/>
    <sheet name="Dashboard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S3" i="3" l="1"/>
  <c r="BI3" i="3"/>
  <c r="AY3" i="3"/>
  <c r="AO3" i="3"/>
  <c r="AE3" i="3"/>
  <c r="U3" i="3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K3" i="3"/>
  <c r="J3" i="3"/>
  <c r="A5" i="3" l="1" a="1"/>
  <c r="A5" i="3" s="1"/>
  <c r="C5" i="3" a="1"/>
  <c r="C5" i="3" s="1"/>
  <c r="B5" i="3" a="1"/>
  <c r="B5" i="3" s="1"/>
  <c r="BZ5" i="3" a="1"/>
  <c r="BZ5" i="3" s="1"/>
  <c r="BY5" i="3" a="1"/>
  <c r="BY5" i="3" s="1"/>
  <c r="BX5" i="3" a="1"/>
  <c r="BX5" i="3" s="1"/>
  <c r="BW5" i="3" a="1"/>
  <c r="BW5" i="3" s="1"/>
  <c r="BV5" i="3" a="1"/>
  <c r="BV5" i="3" s="1"/>
  <c r="BU5" i="3" a="1"/>
  <c r="BU5" i="3" s="1"/>
  <c r="BT5" i="3" a="1"/>
  <c r="BT5" i="3" s="1"/>
  <c r="BS5" i="3" a="1"/>
  <c r="BS5" i="3" s="1"/>
  <c r="BR5" i="3" a="1"/>
  <c r="BR5" i="3" s="1"/>
  <c r="BQ5" i="3" a="1"/>
  <c r="BQ5" i="3" s="1"/>
  <c r="BP5" i="3" a="1"/>
  <c r="BP5" i="3" s="1"/>
  <c r="BO5" i="3" a="1"/>
  <c r="BO5" i="3" s="1"/>
  <c r="BN5" i="3" a="1"/>
  <c r="BN5" i="3" s="1"/>
  <c r="BM5" i="3" a="1"/>
  <c r="BM5" i="3" s="1"/>
  <c r="BL5" i="3" a="1"/>
  <c r="BL5" i="3" s="1"/>
  <c r="BK5" i="3" a="1"/>
  <c r="BK5" i="3" s="1"/>
  <c r="BJ5" i="3" a="1"/>
  <c r="BJ5" i="3" s="1"/>
  <c r="BI5" i="3" a="1"/>
  <c r="BI5" i="3" s="1"/>
  <c r="BH5" i="3" a="1"/>
  <c r="BH5" i="3" s="1"/>
  <c r="BG5" i="3" a="1"/>
  <c r="BG5" i="3" s="1"/>
  <c r="BF5" i="3" a="1"/>
  <c r="BF5" i="3" s="1"/>
  <c r="BE5" i="3" a="1"/>
  <c r="BE5" i="3" s="1"/>
  <c r="BD5" i="3" a="1"/>
  <c r="BD5" i="3" s="1"/>
  <c r="BC5" i="3" a="1"/>
  <c r="BC5" i="3" s="1"/>
  <c r="BB5" i="3" a="1"/>
  <c r="BB5" i="3" s="1"/>
  <c r="BA5" i="3" a="1"/>
  <c r="BA5" i="3" s="1"/>
  <c r="AZ5" i="3" a="1"/>
  <c r="AZ5" i="3" s="1"/>
  <c r="AY5" i="3" a="1"/>
  <c r="AY5" i="3" s="1"/>
  <c r="AX5" i="3" a="1"/>
  <c r="AX5" i="3" s="1"/>
  <c r="AW5" i="3" a="1"/>
  <c r="AW5" i="3" s="1"/>
  <c r="AV5" i="3" a="1"/>
  <c r="AV5" i="3" s="1"/>
  <c r="AU5" i="3" a="1"/>
  <c r="AU5" i="3" s="1"/>
  <c r="AT5" i="3" a="1"/>
  <c r="AT5" i="3" s="1"/>
  <c r="AS5" i="3" a="1"/>
  <c r="AS5" i="3" s="1"/>
  <c r="AR5" i="3" a="1"/>
  <c r="AR5" i="3" s="1"/>
  <c r="AQ5" i="3" a="1"/>
  <c r="AQ5" i="3" s="1"/>
  <c r="AP5" i="3" a="1"/>
  <c r="AP5" i="3" s="1"/>
  <c r="AO5" i="3" a="1"/>
  <c r="AO5" i="3" s="1"/>
  <c r="AN5" i="3" a="1"/>
  <c r="AN5" i="3" s="1"/>
  <c r="AM5" i="3" a="1"/>
  <c r="AM5" i="3" s="1"/>
  <c r="AL5" i="3" a="1"/>
  <c r="AL5" i="3" s="1"/>
  <c r="AK5" i="3" a="1"/>
  <c r="AK5" i="3" s="1"/>
  <c r="AJ5" i="3" a="1"/>
  <c r="AJ5" i="3" s="1"/>
  <c r="AI5" i="3" a="1"/>
  <c r="AI5" i="3" s="1"/>
  <c r="AH5" i="3" a="1"/>
  <c r="AH5" i="3" s="1"/>
  <c r="AG5" i="3" a="1"/>
  <c r="AG5" i="3" s="1"/>
  <c r="AF5" i="3" a="1"/>
  <c r="AF5" i="3" s="1"/>
  <c r="AE5" i="3" a="1"/>
  <c r="AE5" i="3" s="1"/>
  <c r="AD5" i="3" a="1"/>
  <c r="AD5" i="3" s="1"/>
  <c r="AC5" i="3" a="1"/>
  <c r="AC5" i="3" s="1"/>
  <c r="AB5" i="3" a="1"/>
  <c r="AB5" i="3" s="1"/>
  <c r="AA5" i="3" a="1"/>
  <c r="AA5" i="3" s="1"/>
  <c r="Z5" i="3" a="1"/>
  <c r="Z5" i="3" s="1"/>
  <c r="Y5" i="3" a="1"/>
  <c r="Y5" i="3" s="1"/>
  <c r="X5" i="3" a="1"/>
  <c r="X5" i="3" s="1"/>
  <c r="W5" i="3" a="1"/>
  <c r="W5" i="3" s="1"/>
  <c r="V5" i="3" a="1"/>
  <c r="V5" i="3" s="1"/>
  <c r="U5" i="3" a="1"/>
  <c r="U5" i="3" s="1"/>
  <c r="T5" i="3" a="1"/>
  <c r="T5" i="3" s="1"/>
  <c r="S5" i="3" a="1"/>
  <c r="S5" i="3" s="1"/>
  <c r="R5" i="3" a="1"/>
  <c r="R5" i="3" s="1"/>
  <c r="Q5" i="3" a="1"/>
  <c r="Q5" i="3" s="1"/>
  <c r="P5" i="3" a="1"/>
  <c r="P5" i="3" s="1"/>
  <c r="O5" i="3" a="1"/>
  <c r="O5" i="3" s="1"/>
  <c r="N5" i="3" a="1"/>
  <c r="N5" i="3" s="1"/>
  <c r="M5" i="3" a="1"/>
  <c r="M5" i="3" s="1"/>
  <c r="L5" i="3" a="1"/>
  <c r="L5" i="3" s="1"/>
  <c r="K5" i="3" a="1"/>
  <c r="K5" i="3" s="1"/>
  <c r="J5" i="3" a="1"/>
  <c r="J5" i="3" s="1"/>
  <c r="I5" i="3" a="1"/>
  <c r="I5" i="3" s="1"/>
  <c r="H5" i="3" a="1"/>
  <c r="H5" i="3" s="1"/>
  <c r="G5" i="3" a="1"/>
  <c r="G5" i="3" s="1"/>
  <c r="F5" i="3" a="1"/>
  <c r="F5" i="3" s="1"/>
  <c r="E5" i="3" a="1"/>
  <c r="E5" i="3" s="1"/>
  <c r="D5" i="3" a="1"/>
  <c r="D5" i="3" s="1"/>
  <c r="BZ3" i="3"/>
  <c r="BY3" i="3"/>
  <c r="BX3" i="3"/>
  <c r="BW3" i="3"/>
  <c r="BV3" i="3"/>
  <c r="BU3" i="3"/>
  <c r="BT3" i="3"/>
  <c r="BR3" i="3"/>
  <c r="BQ3" i="3"/>
  <c r="BP3" i="3"/>
  <c r="BO3" i="3"/>
  <c r="BN3" i="3"/>
  <c r="BM3" i="3"/>
  <c r="BL3" i="3"/>
  <c r="BK3" i="3"/>
  <c r="BJ3" i="3"/>
  <c r="BH3" i="3"/>
  <c r="BG3" i="3"/>
  <c r="BF3" i="3"/>
  <c r="BE3" i="3"/>
  <c r="BD3" i="3"/>
  <c r="BC3" i="3"/>
  <c r="BB3" i="3"/>
  <c r="BA3" i="3"/>
  <c r="AZ3" i="3"/>
  <c r="AX3" i="3"/>
  <c r="AW3" i="3"/>
  <c r="AV3" i="3"/>
  <c r="AU3" i="3"/>
  <c r="AT3" i="3"/>
  <c r="AS3" i="3"/>
  <c r="AR3" i="3"/>
  <c r="AQ3" i="3"/>
  <c r="AP3" i="3"/>
  <c r="AN3" i="3"/>
  <c r="AM3" i="3"/>
  <c r="AL3" i="3"/>
  <c r="AK3" i="3"/>
  <c r="AJ3" i="3"/>
  <c r="AI3" i="3"/>
  <c r="AH3" i="3"/>
  <c r="AG3" i="3"/>
  <c r="AF3" i="3"/>
  <c r="AD3" i="3"/>
  <c r="AC3" i="3"/>
  <c r="AB3" i="3"/>
  <c r="AA3" i="3"/>
  <c r="Z3" i="3"/>
  <c r="Y3" i="3"/>
  <c r="X3" i="3"/>
  <c r="W3" i="3"/>
  <c r="V3" i="3"/>
  <c r="T3" i="3"/>
  <c r="S3" i="3"/>
  <c r="R3" i="3"/>
  <c r="Q3" i="3"/>
  <c r="P3" i="3"/>
  <c r="O3" i="3"/>
  <c r="N3" i="3"/>
  <c r="M3" i="3"/>
  <c r="L3" i="3"/>
  <c r="I3" i="3"/>
  <c r="H3" i="3"/>
  <c r="G3" i="3"/>
  <c r="F3" i="3"/>
  <c r="E3" i="3"/>
  <c r="D3" i="3"/>
  <c r="C3" i="3"/>
  <c r="B3" i="3"/>
  <c r="A3" i="3"/>
  <c r="A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<sst xmlns="http://schemas.openxmlformats.org/spreadsheetml/2006/main" count="189" uniqueCount="108">
  <si>
    <t>Benchmark</t>
  </si>
  <si>
    <t>Alpha 3 Years as of 6/25 using Benchmark</t>
  </si>
  <si>
    <t>Rank</t>
  </si>
  <si>
    <t>Alpha 3 Years as of 3/25 using Benchmark</t>
  </si>
  <si>
    <t>Alpha 3 Years as of 12/24 using Benchmark</t>
  </si>
  <si>
    <t>Alpha 3 Years as of 9/24 using Benchmark</t>
  </si>
  <si>
    <t>Alpha 3 Years as of 6/24 using Benchmark</t>
  </si>
  <si>
    <t>Alpha 3 Years as of 3/24 using Benchmark</t>
  </si>
  <si>
    <t>Alpha 3 Years as of 12/23 using Benchmark</t>
  </si>
  <si>
    <t>Alpha 3 Years as of 9/23 using Benchmark</t>
  </si>
  <si>
    <t>Alpha 3 Years as of 6/23 using Benchmark</t>
  </si>
  <si>
    <t>Alpha 3 Years as of 3/23 using Benchmark</t>
  </si>
  <si>
    <t>IR 3 Years as of 6/25 using Benchmark</t>
  </si>
  <si>
    <t>IR 3 Years as of 3/25 using Benchmark</t>
  </si>
  <si>
    <t>IR 3 Years as of 12/24 using Benchmark</t>
  </si>
  <si>
    <t>IR 3 Years as of 9/24 using Benchmark</t>
  </si>
  <si>
    <t>IR 3 Years as of 6/24 using Benchmark</t>
  </si>
  <si>
    <t>IR 3 Years as of 3/24 using Benchmark</t>
  </si>
  <si>
    <t>IR 3 Years as of 12/23 using Benchmark</t>
  </si>
  <si>
    <t>IR 3 Years as of 9/23 using Benchmark</t>
  </si>
  <si>
    <t>IR 3 Years as of 6/23 using Benchmark</t>
  </si>
  <si>
    <t>IR 3 Years as of 3/23 using Benchmark</t>
  </si>
  <si>
    <t>Sortino 3 Years as of 6/25 using Risk Free Benchmark</t>
  </si>
  <si>
    <t>Sortino 3 Years as of 3/25 using Risk Free Benchmark</t>
  </si>
  <si>
    <t>Sortino 3 Years as of 12/24 using Risk Free Benchmark</t>
  </si>
  <si>
    <t>Sortino 3 Years as of 9/24 using Risk Free Benchmark</t>
  </si>
  <si>
    <t>Sortino 3 Years as of 6/24 using Risk Free Benchmark</t>
  </si>
  <si>
    <t>Sortino 3 Years as of 3/24 using Risk Free Benchmark</t>
  </si>
  <si>
    <t>Sortino 3 Years as of 12/23 using Risk Free Benchmark</t>
  </si>
  <si>
    <t>Sortino 3 Years as of 9/23 using Risk Free Benchmark</t>
  </si>
  <si>
    <t>Sortino 3 Years as of 6/23 using Risk Free Benchmark</t>
  </si>
  <si>
    <t>Sortino 3 Years as of 3/23 using Risk Free Benchmark</t>
  </si>
  <si>
    <t>Bat. Avg. 3 Years as of 6/25 using Benchmark</t>
  </si>
  <si>
    <t>Bat. Avg. 3 Years as of 3/25 using Benchmark</t>
  </si>
  <si>
    <t>Bat. Avg. 3 Years as of 12/24 using Benchmark</t>
  </si>
  <si>
    <t>Bat. Avg. 3 Years as of 9/24 using Benchmark</t>
  </si>
  <si>
    <t>Bat. Avg. 3 Years as of 6/24 using Benchmark</t>
  </si>
  <si>
    <t>Bat. Avg. 3 Years as of 3/24 using Benchmark</t>
  </si>
  <si>
    <t>Bat. Avg. 3 Years as of 12/23 using Benchmark</t>
  </si>
  <si>
    <t>Bat. Avg. 3 Years as of 9/23 using Benchmark</t>
  </si>
  <si>
    <t>Bat. Avg. 3 Years as of 6/23 using Benchmark</t>
  </si>
  <si>
    <t>Bat. Avg. 3 Years as of 3/23 using Benchmark</t>
  </si>
  <si>
    <t>Excess Rtn 3 Years as of 6/25 using Benchmark</t>
  </si>
  <si>
    <t>Excess Rtn 3 Years as of 3/25 using Benchmark</t>
  </si>
  <si>
    <t>Excess Rtn 3 Years as of 12/24 using Benchmark</t>
  </si>
  <si>
    <t>Excess Rtn 3 Years as of 9/24 using Benchmark</t>
  </si>
  <si>
    <t>Excess Rtn 3 Years as of 6/24 using Benchmark</t>
  </si>
  <si>
    <t>Excess Rtn 3 Years as of 3/24 using Benchmark</t>
  </si>
  <si>
    <t>Excess Rtn 3 Years as of 12/23 using Benchmark</t>
  </si>
  <si>
    <t>Excess Rtn 3 Years as of 9/23 using Benchmark</t>
  </si>
  <si>
    <t>Excess Rtn 3 Years as of 6/23 using Benchmark</t>
  </si>
  <si>
    <t>Excess Rtn 3 Years as of 3/23 using Benchmark</t>
  </si>
  <si>
    <t>TE 3 Years as of 6/25 using Benchmark</t>
  </si>
  <si>
    <t>TE 3 Years as of 3/25 using Benchmark</t>
  </si>
  <si>
    <t>TE 3 Years as of 12/24 using Benchmark</t>
  </si>
  <si>
    <t>TE 3 Years as of 9/24 using Benchmark</t>
  </si>
  <si>
    <t>TE 3 Years as of 6/24 using Benchmark</t>
  </si>
  <si>
    <t>TE 3 Years as of 3/24 using Benchmark</t>
  </si>
  <si>
    <t>TE 3 Years as of 12/23 using Benchmark</t>
  </si>
  <si>
    <t>TE 3 Years as of 9/23 using Benchmark</t>
  </si>
  <si>
    <t>TE 3 Years as of 6/23 using Benchmark</t>
  </si>
  <si>
    <t>TE 3 Years as of 3/23 using Benchmark</t>
  </si>
  <si>
    <t>UMC 3 Years as of 6/25 using Benchmark</t>
  </si>
  <si>
    <t>UMC 3 Years as of 3/25 using Benchmark</t>
  </si>
  <si>
    <t>UMC 3 Years as of 12/24 using Benchmark</t>
  </si>
  <si>
    <t>UMC 3 Years as of 9/24 using Benchmark</t>
  </si>
  <si>
    <t>UMC 3 Years as of 6/24 using Benchmark</t>
  </si>
  <si>
    <t>UMC 3 Years as of 3/24 using Benchmark</t>
  </si>
  <si>
    <t>UMC 3 Years as of 12/23 using Benchmark</t>
  </si>
  <si>
    <t>UMC 3 Years as of 9/23 using Benchmark</t>
  </si>
  <si>
    <t>UMC 3 Years as of 6/23 using Benchmark</t>
  </si>
  <si>
    <t>UMC 3 Years as of 3/23 using Benchmark</t>
  </si>
  <si>
    <t>DMC 3 Years as of 6/25 using Benchmark</t>
  </si>
  <si>
    <t>DMC 3 Years as of 3/25 using Benchmark</t>
  </si>
  <si>
    <t>DMC 3 Years as of 12/24 using Benchmark</t>
  </si>
  <si>
    <t>DMC 3 Years as of 9/24 using Benchmark</t>
  </si>
  <si>
    <t>DMC 3 Years as of 6/24 using Benchmark</t>
  </si>
  <si>
    <t>DMC 3 Years as of 3/24 using Benchmark</t>
  </si>
  <si>
    <t>DMC 3 Years as of 12/23 using Benchmark</t>
  </si>
  <si>
    <t>DMC 3 Years as of 9/23 using Benchmark</t>
  </si>
  <si>
    <t>DMC 3 Years as of 6/23 using Benchmark</t>
  </si>
  <si>
    <t>DMC 3 Years as of 3/23 using Benchmark</t>
  </si>
  <si>
    <t>Fund Name - Product Name</t>
  </si>
  <si>
    <t>Firm Name - Product Name</t>
  </si>
  <si>
    <t>ABC</t>
  </si>
  <si>
    <t>EFG</t>
  </si>
  <si>
    <t>HJI</t>
  </si>
  <si>
    <t>KLM</t>
  </si>
  <si>
    <t>NOP</t>
  </si>
  <si>
    <t>QRS</t>
  </si>
  <si>
    <t>TUV</t>
  </si>
  <si>
    <t>WXY</t>
  </si>
  <si>
    <t>ZZZ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</si>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</sst>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\ yyyy"/>
  </numFmts>
  <fonts count="2" x14ac:knownFonts="1">
    <font>
      <sz val="11"/>
      <color theme="1"/>
      <name val="Aptos Narrow"/>
      <family val="2"/>
      <scheme val="minor"/>
    </font>
    <font>
      <sz val="8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164" fontId="0" fillId="0" borderId="0" xfId="0" applyNumberFormat="1"/>
    <xf numFmtId="0" fontId="0" fillId="2" borderId="0" xfId="0" applyFill="1"/>
  </cellXfs>
  <cellStyles count="2">
    <cellStyle name="Normal" xfId="0" builtinId="0"/>
    <cellStyle name="Normal 2" xfId="1" xr:uid="{B5FA1A1E-43BC-4943-AD74-674A4629CCAA}"/>
  </cellStyles>
  <dxfs count="0"/>
  <tableStyles count="0" defaultTableStyle="TableStyleMedium2" defaultPivotStyle="PivotStyleLight16"/>
  <colors>
    <mruColors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Dashboard!$A$3</c:f>
              <c:strCache>
                <c:ptCount val="1"/>
                <c:pt idx="0">
                  <c:v>Alpha Percentile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glow rad="12700">
                <a:srgbClr val="FFC000"/>
              </a:glow>
              <a:outerShdw blurRad="25400" dist="50800" dir="5400000" algn="ctr" rotWithShape="0">
                <a:srgbClr val="FFC000"/>
              </a:outerShdw>
            </a:effectLst>
          </c:spPr>
          <c:invertIfNegative val="0"/>
          <c:cat>
            <c:numRef>
              <c:f>Dashboard!$A$4:$I$4</c:f>
              <c:numCache>
                <c:formatCode>mmm\ yyyy</c:formatCode>
                <c:ptCount val="9"/>
                <c:pt idx="0">
                  <c:v>45838</c:v>
                </c:pt>
                <c:pt idx="1">
                  <c:v>45747</c:v>
                </c:pt>
                <c:pt idx="2">
                  <c:v>45657</c:v>
                </c:pt>
                <c:pt idx="3">
                  <c:v>45565</c:v>
                </c:pt>
                <c:pt idx="4">
                  <c:v>45473</c:v>
                </c:pt>
                <c:pt idx="5">
                  <c:v>45382</c:v>
                </c:pt>
                <c:pt idx="6">
                  <c:v>45291</c:v>
                </c:pt>
                <c:pt idx="7">
                  <c:v>45199</c:v>
                </c:pt>
                <c:pt idx="8">
                  <c:v>45107</c:v>
                </c:pt>
              </c:numCache>
            </c:numRef>
          </c:cat>
          <c:val>
            <c:numRef>
              <c:f>Dashboard!$A$5:$J$5</c:f>
              <c:numCache>
                <c:formatCode>General</c:formatCode>
                <c:ptCount val="10"/>
                <c:pt idx="0">
                  <c:v>32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53</c:v>
                </c:pt>
                <c:pt idx="5">
                  <c:v>59</c:v>
                </c:pt>
                <c:pt idx="6">
                  <c:v>60</c:v>
                </c:pt>
                <c:pt idx="7">
                  <c:v>74</c:v>
                </c:pt>
                <c:pt idx="8">
                  <c:v>73</c:v>
                </c:pt>
                <c:pt idx="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57-4888-9BBB-1C6C14328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0"/>
        <c:axId val="1470819248"/>
        <c:axId val="1470819728"/>
      </c:barChart>
      <c:dateAx>
        <c:axId val="1470819248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728"/>
        <c:crosses val="autoZero"/>
        <c:auto val="1"/>
        <c:lblOffset val="100"/>
        <c:baseTimeUnit val="months"/>
        <c:majorUnit val="3"/>
        <c:majorTimeUnit val="months"/>
      </c:dateAx>
      <c:valAx>
        <c:axId val="147081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IR Percentile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Dashboard!$K$4:$T$4</c:f>
              <c:numCache>
                <c:formatCode>mmm\ yyyy</c:formatCode>
                <c:ptCount val="10"/>
                <c:pt idx="0">
                  <c:v>45838</c:v>
                </c:pt>
                <c:pt idx="1">
                  <c:v>45747</c:v>
                </c:pt>
                <c:pt idx="2">
                  <c:v>45657</c:v>
                </c:pt>
                <c:pt idx="3">
                  <c:v>45565</c:v>
                </c:pt>
                <c:pt idx="4">
                  <c:v>45473</c:v>
                </c:pt>
                <c:pt idx="5">
                  <c:v>45382</c:v>
                </c:pt>
                <c:pt idx="6">
                  <c:v>45291</c:v>
                </c:pt>
                <c:pt idx="7">
                  <c:v>45199</c:v>
                </c:pt>
                <c:pt idx="8">
                  <c:v>45107</c:v>
                </c:pt>
                <c:pt idx="9">
                  <c:v>45016</c:v>
                </c:pt>
              </c:numCache>
            </c:numRef>
          </c:cat>
          <c:val>
            <c:numRef>
              <c:f>Dashboard!$K$5:$T$5</c:f>
              <c:numCache>
                <c:formatCode>General</c:formatCode>
                <c:ptCount val="10"/>
                <c:pt idx="0">
                  <c:v>10</c:v>
                </c:pt>
                <c:pt idx="1">
                  <c:v>44</c:v>
                </c:pt>
                <c:pt idx="2">
                  <c:v>66</c:v>
                </c:pt>
                <c:pt idx="3">
                  <c:v>79</c:v>
                </c:pt>
                <c:pt idx="4">
                  <c:v>63</c:v>
                </c:pt>
                <c:pt idx="5">
                  <c:v>69</c:v>
                </c:pt>
                <c:pt idx="6">
                  <c:v>76</c:v>
                </c:pt>
                <c:pt idx="7">
                  <c:v>79</c:v>
                </c:pt>
                <c:pt idx="8">
                  <c:v>84</c:v>
                </c:pt>
                <c:pt idx="9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7-4F92-8670-0589D40C5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0"/>
        <c:axId val="1470819248"/>
        <c:axId val="1470819728"/>
      </c:barChart>
      <c:dateAx>
        <c:axId val="1470819248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728"/>
        <c:crosses val="autoZero"/>
        <c:auto val="1"/>
        <c:lblOffset val="100"/>
        <c:baseTimeUnit val="months"/>
        <c:majorUnit val="3"/>
        <c:majorTimeUnit val="months"/>
      </c:dateAx>
      <c:valAx>
        <c:axId val="147081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Sortino Percentile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Dashboard!$U$3</c:f>
              <c:strCache>
                <c:ptCount val="1"/>
                <c:pt idx="0">
                  <c:v>Sortino Percentile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Dashboard!$K$4:$T$4</c:f>
              <c:numCache>
                <c:formatCode>mmm\ yyyy</c:formatCode>
                <c:ptCount val="10"/>
                <c:pt idx="0">
                  <c:v>45838</c:v>
                </c:pt>
                <c:pt idx="1">
                  <c:v>45747</c:v>
                </c:pt>
                <c:pt idx="2">
                  <c:v>45657</c:v>
                </c:pt>
                <c:pt idx="3">
                  <c:v>45565</c:v>
                </c:pt>
                <c:pt idx="4">
                  <c:v>45473</c:v>
                </c:pt>
                <c:pt idx="5">
                  <c:v>45382</c:v>
                </c:pt>
                <c:pt idx="6">
                  <c:v>45291</c:v>
                </c:pt>
                <c:pt idx="7">
                  <c:v>45199</c:v>
                </c:pt>
                <c:pt idx="8">
                  <c:v>45107</c:v>
                </c:pt>
                <c:pt idx="9">
                  <c:v>45016</c:v>
                </c:pt>
              </c:numCache>
            </c:numRef>
          </c:cat>
          <c:val>
            <c:numRef>
              <c:f>Dashboard!$U$5:$AD$5</c:f>
              <c:numCache>
                <c:formatCode>General</c:formatCode>
                <c:ptCount val="10"/>
                <c:pt idx="0">
                  <c:v>29</c:v>
                </c:pt>
                <c:pt idx="1">
                  <c:v>63</c:v>
                </c:pt>
                <c:pt idx="2">
                  <c:v>60</c:v>
                </c:pt>
                <c:pt idx="3">
                  <c:v>63</c:v>
                </c:pt>
                <c:pt idx="4">
                  <c:v>45</c:v>
                </c:pt>
                <c:pt idx="5">
                  <c:v>56</c:v>
                </c:pt>
                <c:pt idx="6">
                  <c:v>49</c:v>
                </c:pt>
                <c:pt idx="7">
                  <c:v>68</c:v>
                </c:pt>
                <c:pt idx="8">
                  <c:v>73</c:v>
                </c:pt>
                <c:pt idx="9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2-4B09-964B-6A40C9A20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0"/>
        <c:axId val="1470819248"/>
        <c:axId val="1470819728"/>
      </c:barChart>
      <c:dateAx>
        <c:axId val="1470819248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728"/>
        <c:crosses val="autoZero"/>
        <c:auto val="1"/>
        <c:lblOffset val="100"/>
        <c:baseTimeUnit val="months"/>
        <c:majorUnit val="3"/>
        <c:majorTimeUnit val="months"/>
      </c:dateAx>
      <c:valAx>
        <c:axId val="147081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Dashboard!$AE$3</c:f>
              <c:strCache>
                <c:ptCount val="1"/>
                <c:pt idx="0">
                  <c:v>Bat. Percentile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Dashboard!$AE$4:$AN$4</c:f>
              <c:numCache>
                <c:formatCode>mmm\ yyyy</c:formatCode>
                <c:ptCount val="10"/>
                <c:pt idx="0">
                  <c:v>45838</c:v>
                </c:pt>
                <c:pt idx="1">
                  <c:v>45747</c:v>
                </c:pt>
                <c:pt idx="2">
                  <c:v>45657</c:v>
                </c:pt>
                <c:pt idx="3">
                  <c:v>45565</c:v>
                </c:pt>
                <c:pt idx="4">
                  <c:v>45473</c:v>
                </c:pt>
                <c:pt idx="5">
                  <c:v>45382</c:v>
                </c:pt>
                <c:pt idx="6">
                  <c:v>45291</c:v>
                </c:pt>
                <c:pt idx="7">
                  <c:v>45199</c:v>
                </c:pt>
                <c:pt idx="8">
                  <c:v>45107</c:v>
                </c:pt>
                <c:pt idx="9">
                  <c:v>45016</c:v>
                </c:pt>
              </c:numCache>
            </c:numRef>
          </c:cat>
          <c:val>
            <c:numRef>
              <c:f>Dashboard!$AE$5:$AN$5</c:f>
              <c:numCache>
                <c:formatCode>General</c:formatCode>
                <c:ptCount val="10"/>
                <c:pt idx="0">
                  <c:v>6</c:v>
                </c:pt>
                <c:pt idx="1">
                  <c:v>24</c:v>
                </c:pt>
                <c:pt idx="2">
                  <c:v>32</c:v>
                </c:pt>
                <c:pt idx="3">
                  <c:v>45</c:v>
                </c:pt>
                <c:pt idx="4">
                  <c:v>21</c:v>
                </c:pt>
                <c:pt idx="5">
                  <c:v>16</c:v>
                </c:pt>
                <c:pt idx="6">
                  <c:v>35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76-40DF-A9FE-A3021C7B0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0"/>
        <c:axId val="1470819248"/>
        <c:axId val="1470819728"/>
      </c:barChart>
      <c:dateAx>
        <c:axId val="1470819248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728"/>
        <c:crosses val="autoZero"/>
        <c:auto val="1"/>
        <c:lblOffset val="100"/>
        <c:baseTimeUnit val="months"/>
        <c:majorUnit val="3"/>
        <c:majorTimeUnit val="months"/>
      </c:dateAx>
      <c:valAx>
        <c:axId val="147081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Dashboard!$AO$3</c:f>
              <c:strCache>
                <c:ptCount val="1"/>
                <c:pt idx="0">
                  <c:v>Excess Percentile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Dashboard!$AO$4:$AX$4</c:f>
              <c:numCache>
                <c:formatCode>mmm\ yyyy</c:formatCode>
                <c:ptCount val="10"/>
                <c:pt idx="0">
                  <c:v>45838</c:v>
                </c:pt>
                <c:pt idx="1">
                  <c:v>45747</c:v>
                </c:pt>
                <c:pt idx="2">
                  <c:v>45657</c:v>
                </c:pt>
                <c:pt idx="3">
                  <c:v>45565</c:v>
                </c:pt>
                <c:pt idx="4">
                  <c:v>45473</c:v>
                </c:pt>
                <c:pt idx="5">
                  <c:v>45382</c:v>
                </c:pt>
                <c:pt idx="6">
                  <c:v>45291</c:v>
                </c:pt>
                <c:pt idx="7">
                  <c:v>45199</c:v>
                </c:pt>
                <c:pt idx="8">
                  <c:v>45107</c:v>
                </c:pt>
                <c:pt idx="9">
                  <c:v>45016</c:v>
                </c:pt>
              </c:numCache>
            </c:numRef>
          </c:cat>
          <c:val>
            <c:numRef>
              <c:f>Dashboard!$AO$5:$AX$5</c:f>
              <c:numCache>
                <c:formatCode>General</c:formatCode>
                <c:ptCount val="10"/>
                <c:pt idx="0">
                  <c:v>34</c:v>
                </c:pt>
                <c:pt idx="1">
                  <c:v>63</c:v>
                </c:pt>
                <c:pt idx="2">
                  <c:v>66</c:v>
                </c:pt>
                <c:pt idx="3">
                  <c:v>63</c:v>
                </c:pt>
                <c:pt idx="4">
                  <c:v>53</c:v>
                </c:pt>
                <c:pt idx="5">
                  <c:v>57</c:v>
                </c:pt>
                <c:pt idx="6">
                  <c:v>61</c:v>
                </c:pt>
                <c:pt idx="7">
                  <c:v>74</c:v>
                </c:pt>
                <c:pt idx="8">
                  <c:v>74</c:v>
                </c:pt>
                <c:pt idx="9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DB-474A-B427-28B59EF5A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0"/>
        <c:axId val="1470819248"/>
        <c:axId val="1470819728"/>
      </c:barChart>
      <c:dateAx>
        <c:axId val="1470819248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728"/>
        <c:crosses val="autoZero"/>
        <c:auto val="1"/>
        <c:lblOffset val="100"/>
        <c:baseTimeUnit val="months"/>
        <c:majorUnit val="3"/>
        <c:majorTimeUnit val="months"/>
      </c:dateAx>
      <c:valAx>
        <c:axId val="147081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Dashboard!$AY$3</c:f>
              <c:strCache>
                <c:ptCount val="1"/>
                <c:pt idx="0">
                  <c:v>TE Percentile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Dashboard!$AY$4:$BH$4</c:f>
              <c:numCache>
                <c:formatCode>mmm\ yyyy</c:formatCode>
                <c:ptCount val="10"/>
                <c:pt idx="0">
                  <c:v>45838</c:v>
                </c:pt>
                <c:pt idx="1">
                  <c:v>45747</c:v>
                </c:pt>
                <c:pt idx="2">
                  <c:v>45657</c:v>
                </c:pt>
                <c:pt idx="3">
                  <c:v>45565</c:v>
                </c:pt>
                <c:pt idx="4">
                  <c:v>45473</c:v>
                </c:pt>
                <c:pt idx="5">
                  <c:v>45382</c:v>
                </c:pt>
                <c:pt idx="6">
                  <c:v>45291</c:v>
                </c:pt>
                <c:pt idx="7">
                  <c:v>45199</c:v>
                </c:pt>
                <c:pt idx="8">
                  <c:v>45107</c:v>
                </c:pt>
                <c:pt idx="9">
                  <c:v>45016</c:v>
                </c:pt>
              </c:numCache>
            </c:numRef>
          </c:cat>
          <c:val>
            <c:numRef>
              <c:f>Dashboard!$AY$5:$BH$5</c:f>
              <c:numCache>
                <c:formatCode>General</c:formatCode>
                <c:ptCount val="10"/>
                <c:pt idx="0">
                  <c:v>11</c:v>
                </c:pt>
                <c:pt idx="1">
                  <c:v>16</c:v>
                </c:pt>
                <c:pt idx="2">
                  <c:v>34</c:v>
                </c:pt>
                <c:pt idx="3">
                  <c:v>16</c:v>
                </c:pt>
                <c:pt idx="4">
                  <c:v>19</c:v>
                </c:pt>
                <c:pt idx="5">
                  <c:v>18</c:v>
                </c:pt>
                <c:pt idx="6">
                  <c:v>19</c:v>
                </c:pt>
                <c:pt idx="7">
                  <c:v>19</c:v>
                </c:pt>
                <c:pt idx="8">
                  <c:v>21</c:v>
                </c:pt>
                <c:pt idx="9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45-45FC-A71F-1D1C992EF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0"/>
        <c:axId val="1470819248"/>
        <c:axId val="1470819728"/>
      </c:barChart>
      <c:dateAx>
        <c:axId val="1470819248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728"/>
        <c:crosses val="autoZero"/>
        <c:auto val="1"/>
        <c:lblOffset val="100"/>
        <c:baseTimeUnit val="months"/>
        <c:majorUnit val="3"/>
        <c:majorTimeUnit val="months"/>
      </c:dateAx>
      <c:valAx>
        <c:axId val="147081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8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5</xdr:row>
      <xdr:rowOff>11430</xdr:rowOff>
    </xdr:from>
    <xdr:to>
      <xdr:col>7</xdr:col>
      <xdr:colOff>388620</xdr:colOff>
      <xdr:row>20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D43988-4BDF-FE3C-A86F-B4A433F77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601980</xdr:colOff>
      <xdr:row>4</xdr:row>
      <xdr:rowOff>175260</xdr:rowOff>
    </xdr:from>
    <xdr:to>
      <xdr:col>15</xdr:col>
      <xdr:colOff>297180</xdr:colOff>
      <xdr:row>19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8F5224-5205-451A-8C2C-0051F44EA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5</xdr:row>
      <xdr:rowOff>0</xdr:rowOff>
    </xdr:from>
    <xdr:to>
      <xdr:col>23</xdr:col>
      <xdr:colOff>304800</xdr:colOff>
      <xdr:row>20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56FE235-C428-4FB2-B062-646219BD4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21</xdr:row>
      <xdr:rowOff>0</xdr:rowOff>
    </xdr:from>
    <xdr:to>
      <xdr:col>7</xdr:col>
      <xdr:colOff>304800</xdr:colOff>
      <xdr:row>36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416BC90-48B6-4B02-A938-5ED77CFC5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15</xdr:col>
      <xdr:colOff>304800</xdr:colOff>
      <xdr:row>36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D0BF2A-C4CF-4B09-B426-6E4410C199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21</xdr:row>
      <xdr:rowOff>0</xdr:rowOff>
    </xdr:from>
    <xdr:to>
      <xdr:col>23</xdr:col>
      <xdr:colOff>304800</xdr:colOff>
      <xdr:row>36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DA97408-0882-4A29-A9FB-DB4923A0A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14EF0-64C7-463C-A2C3-2800A98BD5A4}">
  <sheetPr codeName="Sheet1"/>
  <dimension ref="A1:CD26"/>
  <sheetViews>
    <sheetView workbookViewId="0">
      <selection activeCell="B27" sqref="B27"/>
    </sheetView>
  </sheetViews>
  <sheetFormatPr defaultRowHeight="14.4" x14ac:dyDescent="0.3"/>
  <sheetData>
    <row r="1" spans="1:82" x14ac:dyDescent="0.3">
      <c r="A1" t="s">
        <v>82</v>
      </c>
      <c r="B1" t="s">
        <v>0</v>
      </c>
      <c r="C1" t="s">
        <v>1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</row>
    <row r="2" spans="1:82" x14ac:dyDescent="0.3">
      <c r="A2" t="s">
        <v>83</v>
      </c>
      <c r="B2" t="s">
        <v>0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  <c r="Z2" t="s">
        <v>2</v>
      </c>
      <c r="AA2" t="s">
        <v>2</v>
      </c>
      <c r="AB2" t="s">
        <v>2</v>
      </c>
      <c r="AC2" t="s">
        <v>2</v>
      </c>
      <c r="AD2" t="s">
        <v>2</v>
      </c>
      <c r="AE2" t="s">
        <v>2</v>
      </c>
      <c r="AF2" t="s">
        <v>2</v>
      </c>
      <c r="AG2" t="s">
        <v>2</v>
      </c>
      <c r="AH2" t="s">
        <v>2</v>
      </c>
      <c r="AI2" t="s">
        <v>2</v>
      </c>
      <c r="AJ2" t="s">
        <v>2</v>
      </c>
      <c r="AK2" t="s">
        <v>2</v>
      </c>
      <c r="AL2" t="s">
        <v>2</v>
      </c>
      <c r="AM2" t="s">
        <v>2</v>
      </c>
      <c r="AN2" t="s">
        <v>2</v>
      </c>
      <c r="AO2" t="s">
        <v>2</v>
      </c>
      <c r="AP2" t="s">
        <v>2</v>
      </c>
      <c r="AQ2" t="s">
        <v>2</v>
      </c>
      <c r="AR2" t="s">
        <v>2</v>
      </c>
      <c r="AS2" t="s">
        <v>2</v>
      </c>
      <c r="AT2" t="s">
        <v>2</v>
      </c>
      <c r="AU2" t="s">
        <v>2</v>
      </c>
      <c r="AV2" t="s">
        <v>2</v>
      </c>
      <c r="AW2" t="s">
        <v>2</v>
      </c>
      <c r="AX2" t="s">
        <v>2</v>
      </c>
      <c r="AY2" t="s">
        <v>2</v>
      </c>
      <c r="AZ2" t="s">
        <v>2</v>
      </c>
      <c r="BA2" t="s">
        <v>2</v>
      </c>
      <c r="BB2" t="s">
        <v>2</v>
      </c>
      <c r="BC2" t="s">
        <v>2</v>
      </c>
      <c r="BD2" t="s">
        <v>2</v>
      </c>
      <c r="BE2" t="s">
        <v>2</v>
      </c>
      <c r="BF2" t="s">
        <v>2</v>
      </c>
      <c r="BG2" t="s">
        <v>2</v>
      </c>
      <c r="BH2" t="s">
        <v>2</v>
      </c>
      <c r="BI2" t="s">
        <v>2</v>
      </c>
      <c r="BJ2" t="s">
        <v>2</v>
      </c>
      <c r="BK2" t="s">
        <v>2</v>
      </c>
      <c r="BL2" t="s">
        <v>2</v>
      </c>
      <c r="BM2" t="s">
        <v>2</v>
      </c>
      <c r="BN2" t="s">
        <v>2</v>
      </c>
      <c r="BO2" t="s">
        <v>2</v>
      </c>
      <c r="BP2" t="s">
        <v>2</v>
      </c>
      <c r="BQ2" t="s">
        <v>2</v>
      </c>
      <c r="BR2" t="s">
        <v>2</v>
      </c>
      <c r="BS2" t="s">
        <v>2</v>
      </c>
      <c r="BT2" t="s">
        <v>2</v>
      </c>
      <c r="BU2" t="s">
        <v>2</v>
      </c>
      <c r="BV2" t="s">
        <v>2</v>
      </c>
      <c r="BW2" t="s">
        <v>2</v>
      </c>
      <c r="BX2" t="s">
        <v>2</v>
      </c>
      <c r="BY2" t="s">
        <v>2</v>
      </c>
      <c r="BZ2" t="s">
        <v>2</v>
      </c>
      <c r="CA2" t="s">
        <v>2</v>
      </c>
      <c r="CB2" t="s">
        <v>2</v>
      </c>
      <c r="CC2" t="s">
        <v>2</v>
      </c>
      <c r="CD2" t="s">
        <v>2</v>
      </c>
    </row>
    <row r="3" spans="1:82" x14ac:dyDescent="0.3">
      <c r="A3" t="s">
        <v>84</v>
      </c>
      <c r="B3" t="str">
        <f>A3&amp;" "&amp;"Index"</f>
        <v>ABC Index</v>
      </c>
      <c r="C3">
        <v>32</v>
      </c>
      <c r="D3">
        <v>63</v>
      </c>
      <c r="E3">
        <v>63</v>
      </c>
      <c r="F3">
        <v>63</v>
      </c>
      <c r="G3">
        <v>53</v>
      </c>
      <c r="H3">
        <v>59</v>
      </c>
      <c r="I3">
        <v>60</v>
      </c>
      <c r="J3">
        <v>74</v>
      </c>
      <c r="K3">
        <v>73</v>
      </c>
      <c r="L3">
        <v>75</v>
      </c>
      <c r="M3">
        <v>10</v>
      </c>
      <c r="N3">
        <v>44</v>
      </c>
      <c r="O3">
        <v>66</v>
      </c>
      <c r="P3">
        <v>79</v>
      </c>
      <c r="Q3">
        <v>63</v>
      </c>
      <c r="R3">
        <v>69</v>
      </c>
      <c r="S3">
        <v>76</v>
      </c>
      <c r="T3">
        <v>79</v>
      </c>
      <c r="U3">
        <v>84</v>
      </c>
      <c r="V3">
        <v>72</v>
      </c>
      <c r="W3">
        <v>29</v>
      </c>
      <c r="X3">
        <v>63</v>
      </c>
      <c r="Y3">
        <v>60</v>
      </c>
      <c r="Z3">
        <v>63</v>
      </c>
      <c r="AA3">
        <v>45</v>
      </c>
      <c r="AB3">
        <v>56</v>
      </c>
      <c r="AC3">
        <v>49</v>
      </c>
      <c r="AD3">
        <v>68</v>
      </c>
      <c r="AE3">
        <v>73</v>
      </c>
      <c r="AF3">
        <v>77</v>
      </c>
      <c r="AG3">
        <v>6</v>
      </c>
      <c r="AH3">
        <v>24</v>
      </c>
      <c r="AI3">
        <v>32</v>
      </c>
      <c r="AJ3">
        <v>45</v>
      </c>
      <c r="AK3">
        <v>21</v>
      </c>
      <c r="AL3">
        <v>16</v>
      </c>
      <c r="AM3">
        <v>35</v>
      </c>
      <c r="AN3">
        <v>24</v>
      </c>
      <c r="AO3">
        <v>24</v>
      </c>
      <c r="AP3">
        <v>25</v>
      </c>
      <c r="AQ3">
        <v>34</v>
      </c>
      <c r="AR3">
        <v>63</v>
      </c>
      <c r="AS3">
        <v>66</v>
      </c>
      <c r="AT3">
        <v>63</v>
      </c>
      <c r="AU3">
        <v>53</v>
      </c>
      <c r="AV3">
        <v>57</v>
      </c>
      <c r="AW3">
        <v>61</v>
      </c>
      <c r="AX3">
        <v>74</v>
      </c>
      <c r="AY3">
        <v>74</v>
      </c>
      <c r="AZ3">
        <v>73</v>
      </c>
      <c r="BA3">
        <v>11</v>
      </c>
      <c r="BB3">
        <v>16</v>
      </c>
      <c r="BC3">
        <v>34</v>
      </c>
      <c r="BD3">
        <v>16</v>
      </c>
      <c r="BE3">
        <v>19</v>
      </c>
      <c r="BF3">
        <v>18</v>
      </c>
      <c r="BG3">
        <v>19</v>
      </c>
      <c r="BH3">
        <v>19</v>
      </c>
      <c r="BI3">
        <v>21</v>
      </c>
      <c r="BJ3">
        <v>43</v>
      </c>
      <c r="BK3">
        <v>53</v>
      </c>
      <c r="BL3">
        <v>65</v>
      </c>
      <c r="BM3">
        <v>53</v>
      </c>
      <c r="BN3">
        <v>42</v>
      </c>
      <c r="BO3">
        <v>21</v>
      </c>
      <c r="BP3">
        <v>18</v>
      </c>
      <c r="BQ3">
        <v>26</v>
      </c>
      <c r="BR3">
        <v>21</v>
      </c>
      <c r="BS3">
        <v>21</v>
      </c>
      <c r="BT3">
        <v>35</v>
      </c>
      <c r="BU3">
        <v>16</v>
      </c>
      <c r="BV3">
        <v>48</v>
      </c>
      <c r="BW3">
        <v>66</v>
      </c>
      <c r="BX3">
        <v>69</v>
      </c>
      <c r="BY3">
        <v>69</v>
      </c>
      <c r="BZ3">
        <v>77</v>
      </c>
      <c r="CA3">
        <v>79</v>
      </c>
      <c r="CB3">
        <v>79</v>
      </c>
      <c r="CC3">
        <v>77</v>
      </c>
      <c r="CD3">
        <v>78</v>
      </c>
    </row>
    <row r="4" spans="1:82" x14ac:dyDescent="0.3">
      <c r="A4" t="s">
        <v>85</v>
      </c>
      <c r="B4" t="str">
        <f t="shared" ref="B4:B26" si="0">A4&amp;" "&amp;"Index"</f>
        <v>EFG Index</v>
      </c>
      <c r="C4">
        <v>38</v>
      </c>
      <c r="D4">
        <v>35</v>
      </c>
      <c r="E4">
        <v>44</v>
      </c>
      <c r="F4">
        <v>39</v>
      </c>
      <c r="G4">
        <v>32</v>
      </c>
      <c r="H4">
        <v>23</v>
      </c>
      <c r="I4">
        <v>25</v>
      </c>
      <c r="J4">
        <v>21</v>
      </c>
      <c r="K4">
        <v>37</v>
      </c>
      <c r="L4">
        <v>38</v>
      </c>
      <c r="M4">
        <v>49</v>
      </c>
      <c r="N4">
        <v>32</v>
      </c>
      <c r="O4">
        <v>38</v>
      </c>
      <c r="P4">
        <v>35</v>
      </c>
      <c r="Q4">
        <v>12</v>
      </c>
      <c r="R4">
        <v>11</v>
      </c>
      <c r="S4">
        <v>10</v>
      </c>
      <c r="T4">
        <v>4</v>
      </c>
      <c r="U4">
        <v>11</v>
      </c>
      <c r="V4">
        <v>9</v>
      </c>
      <c r="W4">
        <v>27</v>
      </c>
      <c r="X4">
        <v>32</v>
      </c>
      <c r="Y4">
        <v>40</v>
      </c>
      <c r="Z4">
        <v>30</v>
      </c>
      <c r="AA4">
        <v>23</v>
      </c>
      <c r="AB4">
        <v>17</v>
      </c>
      <c r="AC4">
        <v>17</v>
      </c>
      <c r="AD4">
        <v>14</v>
      </c>
      <c r="AE4">
        <v>21</v>
      </c>
      <c r="AF4">
        <v>25</v>
      </c>
      <c r="AG4">
        <v>52</v>
      </c>
      <c r="AH4">
        <v>26</v>
      </c>
      <c r="AI4">
        <v>13</v>
      </c>
      <c r="AJ4">
        <v>29</v>
      </c>
      <c r="AK4">
        <v>18</v>
      </c>
      <c r="AL4">
        <v>20</v>
      </c>
      <c r="AM4">
        <v>20</v>
      </c>
      <c r="AN4">
        <v>5</v>
      </c>
      <c r="AO4">
        <v>12</v>
      </c>
      <c r="AP4">
        <v>6</v>
      </c>
      <c r="AQ4">
        <v>49</v>
      </c>
      <c r="AR4">
        <v>41</v>
      </c>
      <c r="AS4">
        <v>47</v>
      </c>
      <c r="AT4">
        <v>45</v>
      </c>
      <c r="AU4">
        <v>33</v>
      </c>
      <c r="AV4">
        <v>28</v>
      </c>
      <c r="AW4">
        <v>28</v>
      </c>
      <c r="AX4">
        <v>21</v>
      </c>
      <c r="AY4">
        <v>31</v>
      </c>
      <c r="AZ4">
        <v>36</v>
      </c>
      <c r="BA4">
        <v>31</v>
      </c>
      <c r="BB4">
        <v>25</v>
      </c>
      <c r="BC4">
        <v>24</v>
      </c>
      <c r="BD4">
        <v>22</v>
      </c>
      <c r="BE4">
        <v>7</v>
      </c>
      <c r="BF4">
        <v>9</v>
      </c>
      <c r="BG4">
        <v>9</v>
      </c>
      <c r="BH4">
        <v>5</v>
      </c>
      <c r="BI4">
        <v>4</v>
      </c>
      <c r="BJ4">
        <v>3</v>
      </c>
      <c r="BK4">
        <v>75</v>
      </c>
      <c r="BL4">
        <v>66</v>
      </c>
      <c r="BM4">
        <v>71</v>
      </c>
      <c r="BN4">
        <v>73</v>
      </c>
      <c r="BO4">
        <v>60</v>
      </c>
      <c r="BP4">
        <v>54</v>
      </c>
      <c r="BQ4">
        <v>54</v>
      </c>
      <c r="BR4">
        <v>36</v>
      </c>
      <c r="BS4">
        <v>44</v>
      </c>
      <c r="BT4">
        <v>47</v>
      </c>
      <c r="BU4">
        <v>23</v>
      </c>
      <c r="BV4">
        <v>20</v>
      </c>
      <c r="BW4">
        <v>26</v>
      </c>
      <c r="BX4">
        <v>23</v>
      </c>
      <c r="BY4">
        <v>21</v>
      </c>
      <c r="BZ4">
        <v>21</v>
      </c>
      <c r="CA4">
        <v>21</v>
      </c>
      <c r="CB4">
        <v>21</v>
      </c>
      <c r="CC4">
        <v>36</v>
      </c>
      <c r="CD4">
        <v>36</v>
      </c>
    </row>
    <row r="5" spans="1:82" x14ac:dyDescent="0.3">
      <c r="A5" t="s">
        <v>86</v>
      </c>
      <c r="B5" t="str">
        <f t="shared" si="0"/>
        <v>HJI Index</v>
      </c>
      <c r="C5">
        <v>85</v>
      </c>
      <c r="D5">
        <v>68</v>
      </c>
      <c r="E5">
        <v>53</v>
      </c>
      <c r="F5">
        <v>59</v>
      </c>
      <c r="G5">
        <v>57</v>
      </c>
      <c r="H5">
        <v>60</v>
      </c>
      <c r="I5">
        <v>61</v>
      </c>
      <c r="J5">
        <v>62</v>
      </c>
      <c r="K5">
        <v>57</v>
      </c>
      <c r="L5">
        <v>62</v>
      </c>
      <c r="M5">
        <v>59</v>
      </c>
      <c r="N5">
        <v>85</v>
      </c>
      <c r="O5">
        <v>71</v>
      </c>
      <c r="P5">
        <v>71</v>
      </c>
      <c r="Q5">
        <v>73</v>
      </c>
      <c r="R5">
        <v>73</v>
      </c>
      <c r="S5">
        <v>87</v>
      </c>
      <c r="T5">
        <v>86</v>
      </c>
      <c r="U5">
        <v>80</v>
      </c>
      <c r="V5">
        <v>85</v>
      </c>
      <c r="W5">
        <v>69</v>
      </c>
      <c r="X5">
        <v>59</v>
      </c>
      <c r="Y5">
        <v>44</v>
      </c>
      <c r="Z5">
        <v>53</v>
      </c>
      <c r="AA5">
        <v>52</v>
      </c>
      <c r="AB5">
        <v>52</v>
      </c>
      <c r="AC5">
        <v>60</v>
      </c>
      <c r="AD5">
        <v>61</v>
      </c>
      <c r="AE5">
        <v>55</v>
      </c>
      <c r="AF5">
        <v>57</v>
      </c>
      <c r="AG5">
        <v>28</v>
      </c>
      <c r="AH5">
        <v>48</v>
      </c>
      <c r="AI5">
        <v>38</v>
      </c>
      <c r="AJ5">
        <v>37</v>
      </c>
      <c r="AK5">
        <v>59</v>
      </c>
      <c r="AL5">
        <v>64</v>
      </c>
      <c r="AM5">
        <v>69</v>
      </c>
      <c r="AN5">
        <v>70</v>
      </c>
      <c r="AO5">
        <v>62</v>
      </c>
      <c r="AP5">
        <v>66</v>
      </c>
      <c r="AQ5">
        <v>47</v>
      </c>
      <c r="AR5">
        <v>56</v>
      </c>
      <c r="AS5">
        <v>39</v>
      </c>
      <c r="AT5">
        <v>49</v>
      </c>
      <c r="AU5">
        <v>47</v>
      </c>
      <c r="AV5">
        <v>48</v>
      </c>
      <c r="AW5">
        <v>58</v>
      </c>
      <c r="AX5">
        <v>61</v>
      </c>
      <c r="AY5">
        <v>50</v>
      </c>
      <c r="AZ5">
        <v>54</v>
      </c>
      <c r="BA5">
        <v>13</v>
      </c>
      <c r="BB5">
        <v>11</v>
      </c>
      <c r="BC5">
        <v>10</v>
      </c>
      <c r="BD5">
        <v>14</v>
      </c>
      <c r="BE5">
        <v>14</v>
      </c>
      <c r="BF5">
        <v>11</v>
      </c>
      <c r="BG5">
        <v>6</v>
      </c>
      <c r="BH5">
        <v>4</v>
      </c>
      <c r="BI5">
        <v>2</v>
      </c>
      <c r="BJ5">
        <v>3</v>
      </c>
      <c r="BK5">
        <v>39</v>
      </c>
      <c r="BL5">
        <v>39</v>
      </c>
      <c r="BM5">
        <v>38</v>
      </c>
      <c r="BN5">
        <v>33</v>
      </c>
      <c r="BO5">
        <v>39</v>
      </c>
      <c r="BP5">
        <v>36</v>
      </c>
      <c r="BQ5">
        <v>42</v>
      </c>
      <c r="BR5">
        <v>43</v>
      </c>
      <c r="BS5">
        <v>37</v>
      </c>
      <c r="BT5">
        <v>45</v>
      </c>
      <c r="BU5">
        <v>82</v>
      </c>
      <c r="BV5">
        <v>72</v>
      </c>
      <c r="BW5">
        <v>60</v>
      </c>
      <c r="BX5">
        <v>60</v>
      </c>
      <c r="BY5">
        <v>59</v>
      </c>
      <c r="BZ5">
        <v>60</v>
      </c>
      <c r="CA5">
        <v>59</v>
      </c>
      <c r="CB5">
        <v>59</v>
      </c>
      <c r="CC5">
        <v>55</v>
      </c>
      <c r="CD5">
        <v>55</v>
      </c>
    </row>
    <row r="6" spans="1:82" x14ac:dyDescent="0.3">
      <c r="A6" t="s">
        <v>87</v>
      </c>
      <c r="B6" t="str">
        <f t="shared" si="0"/>
        <v>KLM Index</v>
      </c>
      <c r="C6">
        <v>32</v>
      </c>
      <c r="D6">
        <v>15</v>
      </c>
      <c r="E6">
        <v>11</v>
      </c>
      <c r="F6">
        <v>18</v>
      </c>
      <c r="G6">
        <v>13</v>
      </c>
      <c r="H6">
        <v>21</v>
      </c>
      <c r="I6">
        <v>31</v>
      </c>
      <c r="J6">
        <v>36</v>
      </c>
      <c r="K6">
        <v>40</v>
      </c>
      <c r="L6">
        <v>50</v>
      </c>
      <c r="M6">
        <v>2</v>
      </c>
      <c r="N6">
        <v>1</v>
      </c>
      <c r="O6">
        <v>1</v>
      </c>
      <c r="P6">
        <v>5</v>
      </c>
      <c r="Q6">
        <v>5</v>
      </c>
      <c r="R6">
        <v>7</v>
      </c>
      <c r="S6">
        <v>18</v>
      </c>
      <c r="T6">
        <v>25</v>
      </c>
      <c r="U6">
        <v>24</v>
      </c>
      <c r="V6">
        <v>30</v>
      </c>
      <c r="W6">
        <v>21</v>
      </c>
      <c r="X6">
        <v>12</v>
      </c>
      <c r="Y6">
        <v>9</v>
      </c>
      <c r="Z6">
        <v>16</v>
      </c>
      <c r="AA6">
        <v>13</v>
      </c>
      <c r="AB6">
        <v>20</v>
      </c>
      <c r="AC6">
        <v>30</v>
      </c>
      <c r="AD6">
        <v>34</v>
      </c>
      <c r="AE6">
        <v>38</v>
      </c>
      <c r="AF6">
        <v>44</v>
      </c>
      <c r="AG6">
        <v>2</v>
      </c>
      <c r="AH6">
        <v>1</v>
      </c>
      <c r="AI6">
        <v>1</v>
      </c>
      <c r="AJ6">
        <v>1</v>
      </c>
      <c r="AK6">
        <v>1</v>
      </c>
      <c r="AL6">
        <v>1</v>
      </c>
      <c r="AM6">
        <v>4</v>
      </c>
      <c r="AN6">
        <v>5</v>
      </c>
      <c r="AO6">
        <v>3</v>
      </c>
      <c r="AP6">
        <v>4</v>
      </c>
      <c r="AQ6">
        <v>13</v>
      </c>
      <c r="AR6">
        <v>8</v>
      </c>
      <c r="AS6">
        <v>8</v>
      </c>
      <c r="AT6">
        <v>11</v>
      </c>
      <c r="AU6">
        <v>9</v>
      </c>
      <c r="AV6">
        <v>14</v>
      </c>
      <c r="AW6">
        <v>26</v>
      </c>
      <c r="AX6">
        <v>32</v>
      </c>
      <c r="AY6">
        <v>30</v>
      </c>
      <c r="AZ6">
        <v>36</v>
      </c>
      <c r="BA6">
        <v>6</v>
      </c>
      <c r="BB6">
        <v>8</v>
      </c>
      <c r="BC6">
        <v>5</v>
      </c>
      <c r="BD6">
        <v>17</v>
      </c>
      <c r="BE6">
        <v>18</v>
      </c>
      <c r="BF6">
        <v>18</v>
      </c>
      <c r="BG6">
        <v>14</v>
      </c>
      <c r="BH6">
        <v>12</v>
      </c>
      <c r="BI6">
        <v>9</v>
      </c>
      <c r="BJ6">
        <v>8</v>
      </c>
      <c r="BK6">
        <v>11</v>
      </c>
      <c r="BL6">
        <v>8</v>
      </c>
      <c r="BM6">
        <v>8</v>
      </c>
      <c r="BN6">
        <v>10</v>
      </c>
      <c r="BO6">
        <v>11</v>
      </c>
      <c r="BP6">
        <v>15</v>
      </c>
      <c r="BQ6">
        <v>33</v>
      </c>
      <c r="BR6">
        <v>35</v>
      </c>
      <c r="BS6">
        <v>34</v>
      </c>
      <c r="BT6">
        <v>38</v>
      </c>
      <c r="BU6">
        <v>64</v>
      </c>
      <c r="BV6">
        <v>59</v>
      </c>
      <c r="BW6">
        <v>45</v>
      </c>
      <c r="BX6">
        <v>45</v>
      </c>
      <c r="BY6">
        <v>46</v>
      </c>
      <c r="BZ6">
        <v>46</v>
      </c>
      <c r="CA6">
        <v>46</v>
      </c>
      <c r="CB6">
        <v>46</v>
      </c>
      <c r="CC6">
        <v>55</v>
      </c>
      <c r="CD6">
        <v>55</v>
      </c>
    </row>
    <row r="7" spans="1:82" x14ac:dyDescent="0.3">
      <c r="A7" t="s">
        <v>88</v>
      </c>
      <c r="B7" t="str">
        <f t="shared" si="0"/>
        <v>NOP Index</v>
      </c>
      <c r="C7">
        <v>18</v>
      </c>
      <c r="D7">
        <v>11</v>
      </c>
      <c r="E7">
        <v>10</v>
      </c>
      <c r="F7">
        <v>9</v>
      </c>
      <c r="G7">
        <v>11</v>
      </c>
      <c r="H7">
        <v>13</v>
      </c>
      <c r="I7">
        <v>11</v>
      </c>
      <c r="J7">
        <v>8</v>
      </c>
      <c r="K7">
        <v>8</v>
      </c>
      <c r="L7">
        <v>6</v>
      </c>
      <c r="M7">
        <v>46</v>
      </c>
      <c r="N7">
        <v>13</v>
      </c>
      <c r="O7">
        <v>10</v>
      </c>
      <c r="P7">
        <v>8</v>
      </c>
      <c r="Q7">
        <v>14</v>
      </c>
      <c r="R7">
        <v>18</v>
      </c>
      <c r="S7">
        <v>19</v>
      </c>
      <c r="T7">
        <v>10</v>
      </c>
      <c r="U7">
        <v>12</v>
      </c>
      <c r="V7">
        <v>15</v>
      </c>
      <c r="W7">
        <v>36</v>
      </c>
      <c r="X7">
        <v>12</v>
      </c>
      <c r="Y7">
        <v>10</v>
      </c>
      <c r="Z7">
        <v>8</v>
      </c>
      <c r="AA7">
        <v>10</v>
      </c>
      <c r="AB7">
        <v>11</v>
      </c>
      <c r="AC7">
        <v>9</v>
      </c>
      <c r="AD7">
        <v>7</v>
      </c>
      <c r="AE7">
        <v>4</v>
      </c>
      <c r="AF7">
        <v>2</v>
      </c>
      <c r="AG7">
        <v>24</v>
      </c>
      <c r="AH7">
        <v>12</v>
      </c>
      <c r="AI7">
        <v>14</v>
      </c>
      <c r="AJ7">
        <v>11</v>
      </c>
      <c r="AK7">
        <v>15</v>
      </c>
      <c r="AL7">
        <v>21</v>
      </c>
      <c r="AM7">
        <v>11</v>
      </c>
      <c r="AN7">
        <v>3</v>
      </c>
      <c r="AO7">
        <v>13</v>
      </c>
      <c r="AP7">
        <v>12</v>
      </c>
      <c r="AQ7">
        <v>64</v>
      </c>
      <c r="AR7">
        <v>13</v>
      </c>
      <c r="AS7">
        <v>10</v>
      </c>
      <c r="AT7">
        <v>9</v>
      </c>
      <c r="AU7">
        <v>10</v>
      </c>
      <c r="AV7">
        <v>16</v>
      </c>
      <c r="AW7">
        <v>11</v>
      </c>
      <c r="AX7">
        <v>8</v>
      </c>
      <c r="AY7">
        <v>8</v>
      </c>
      <c r="AZ7">
        <v>8</v>
      </c>
      <c r="BA7">
        <v>81</v>
      </c>
      <c r="BB7">
        <v>82</v>
      </c>
      <c r="BC7">
        <v>86</v>
      </c>
      <c r="BD7">
        <v>81</v>
      </c>
      <c r="BE7">
        <v>75</v>
      </c>
      <c r="BF7">
        <v>83</v>
      </c>
      <c r="BG7">
        <v>84</v>
      </c>
      <c r="BH7">
        <v>79</v>
      </c>
      <c r="BI7">
        <v>77</v>
      </c>
      <c r="BJ7">
        <v>79</v>
      </c>
      <c r="BK7">
        <v>72</v>
      </c>
      <c r="BL7">
        <v>55</v>
      </c>
      <c r="BM7">
        <v>55</v>
      </c>
      <c r="BN7">
        <v>28</v>
      </c>
      <c r="BO7">
        <v>50</v>
      </c>
      <c r="BP7">
        <v>73</v>
      </c>
      <c r="BQ7">
        <v>64</v>
      </c>
      <c r="BR7">
        <v>37</v>
      </c>
      <c r="BS7">
        <v>52</v>
      </c>
      <c r="BT7">
        <v>71</v>
      </c>
      <c r="BU7">
        <v>24</v>
      </c>
      <c r="BV7">
        <v>13</v>
      </c>
      <c r="BW7">
        <v>8</v>
      </c>
      <c r="BX7">
        <v>8</v>
      </c>
      <c r="BY7">
        <v>8</v>
      </c>
      <c r="BZ7">
        <v>7</v>
      </c>
      <c r="CA7">
        <v>6</v>
      </c>
      <c r="CB7">
        <v>5</v>
      </c>
      <c r="CC7">
        <v>5</v>
      </c>
      <c r="CD7">
        <v>5</v>
      </c>
    </row>
    <row r="8" spans="1:82" x14ac:dyDescent="0.3">
      <c r="A8" t="s">
        <v>89</v>
      </c>
      <c r="B8" t="str">
        <f t="shared" si="0"/>
        <v>QRS Index</v>
      </c>
      <c r="C8">
        <v>85</v>
      </c>
      <c r="D8">
        <v>84</v>
      </c>
      <c r="E8">
        <v>82</v>
      </c>
      <c r="F8">
        <v>82</v>
      </c>
      <c r="G8">
        <v>92</v>
      </c>
      <c r="H8">
        <v>86</v>
      </c>
      <c r="I8">
        <v>76</v>
      </c>
      <c r="J8">
        <v>68</v>
      </c>
      <c r="K8">
        <v>71</v>
      </c>
      <c r="L8">
        <v>89</v>
      </c>
      <c r="M8">
        <v>88</v>
      </c>
      <c r="N8">
        <v>84</v>
      </c>
      <c r="O8">
        <v>81</v>
      </c>
      <c r="P8">
        <v>82</v>
      </c>
      <c r="Q8">
        <v>90</v>
      </c>
      <c r="R8">
        <v>85</v>
      </c>
      <c r="S8">
        <v>73</v>
      </c>
      <c r="T8">
        <v>48</v>
      </c>
      <c r="U8">
        <v>45</v>
      </c>
      <c r="V8">
        <v>71</v>
      </c>
      <c r="W8">
        <v>91</v>
      </c>
      <c r="X8">
        <v>83</v>
      </c>
      <c r="Y8">
        <v>82</v>
      </c>
      <c r="Z8">
        <v>82</v>
      </c>
      <c r="AA8">
        <v>92</v>
      </c>
      <c r="AB8">
        <v>86</v>
      </c>
      <c r="AC8">
        <v>76</v>
      </c>
      <c r="AD8">
        <v>64</v>
      </c>
      <c r="AE8">
        <v>67</v>
      </c>
      <c r="AF8">
        <v>86</v>
      </c>
      <c r="AG8">
        <v>49</v>
      </c>
      <c r="AH8">
        <v>40</v>
      </c>
      <c r="AI8">
        <v>37</v>
      </c>
      <c r="AJ8">
        <v>47</v>
      </c>
      <c r="AK8">
        <v>60</v>
      </c>
      <c r="AL8">
        <v>36</v>
      </c>
      <c r="AM8">
        <v>17</v>
      </c>
      <c r="AN8">
        <v>15</v>
      </c>
      <c r="AO8">
        <v>10</v>
      </c>
      <c r="AP8">
        <v>26</v>
      </c>
      <c r="AQ8">
        <v>93</v>
      </c>
      <c r="AR8">
        <v>83</v>
      </c>
      <c r="AS8">
        <v>81</v>
      </c>
      <c r="AT8">
        <v>83</v>
      </c>
      <c r="AU8">
        <v>90</v>
      </c>
      <c r="AV8">
        <v>85</v>
      </c>
      <c r="AW8">
        <v>75</v>
      </c>
      <c r="AX8">
        <v>62</v>
      </c>
      <c r="AY8">
        <v>55</v>
      </c>
      <c r="AZ8">
        <v>81</v>
      </c>
      <c r="BA8">
        <v>75</v>
      </c>
      <c r="BB8">
        <v>49</v>
      </c>
      <c r="BC8">
        <v>52</v>
      </c>
      <c r="BD8">
        <v>45</v>
      </c>
      <c r="BE8">
        <v>43</v>
      </c>
      <c r="BF8">
        <v>46</v>
      </c>
      <c r="BG8">
        <v>36</v>
      </c>
      <c r="BH8">
        <v>18</v>
      </c>
      <c r="BI8">
        <v>16</v>
      </c>
      <c r="BJ8">
        <v>11</v>
      </c>
      <c r="BK8">
        <v>91</v>
      </c>
      <c r="BL8">
        <v>67</v>
      </c>
      <c r="BM8">
        <v>67</v>
      </c>
      <c r="BN8">
        <v>78</v>
      </c>
      <c r="BO8">
        <v>83</v>
      </c>
      <c r="BP8">
        <v>68</v>
      </c>
      <c r="BQ8">
        <v>53</v>
      </c>
      <c r="BR8">
        <v>35</v>
      </c>
      <c r="BS8">
        <v>34</v>
      </c>
      <c r="BT8">
        <v>59</v>
      </c>
      <c r="BU8">
        <v>80</v>
      </c>
      <c r="BV8">
        <v>85</v>
      </c>
      <c r="BW8">
        <v>81</v>
      </c>
      <c r="BX8">
        <v>81</v>
      </c>
      <c r="BY8">
        <v>89</v>
      </c>
      <c r="BZ8">
        <v>85</v>
      </c>
      <c r="CA8">
        <v>85</v>
      </c>
      <c r="CB8">
        <v>84</v>
      </c>
      <c r="CC8">
        <v>88</v>
      </c>
      <c r="CD8">
        <v>88</v>
      </c>
    </row>
    <row r="9" spans="1:82" x14ac:dyDescent="0.3">
      <c r="A9" t="s">
        <v>90</v>
      </c>
      <c r="B9" t="str">
        <f t="shared" si="0"/>
        <v>TUV Index</v>
      </c>
      <c r="C9">
        <v>27</v>
      </c>
      <c r="D9">
        <v>29</v>
      </c>
      <c r="E9">
        <v>22</v>
      </c>
      <c r="F9">
        <v>15</v>
      </c>
      <c r="G9">
        <v>15</v>
      </c>
      <c r="H9">
        <v>15</v>
      </c>
      <c r="I9">
        <v>13</v>
      </c>
      <c r="J9">
        <v>11</v>
      </c>
      <c r="K9">
        <v>29</v>
      </c>
      <c r="L9">
        <v>34</v>
      </c>
      <c r="M9">
        <v>31</v>
      </c>
      <c r="N9">
        <v>33</v>
      </c>
      <c r="O9">
        <v>19</v>
      </c>
      <c r="P9">
        <v>17</v>
      </c>
      <c r="Q9">
        <v>8</v>
      </c>
      <c r="R9">
        <v>11</v>
      </c>
      <c r="S9">
        <v>10</v>
      </c>
      <c r="T9">
        <v>6</v>
      </c>
      <c r="U9">
        <v>10</v>
      </c>
      <c r="V9">
        <v>10</v>
      </c>
      <c r="W9">
        <v>17</v>
      </c>
      <c r="X9">
        <v>27</v>
      </c>
      <c r="Y9">
        <v>18</v>
      </c>
      <c r="Z9">
        <v>13</v>
      </c>
      <c r="AA9">
        <v>11</v>
      </c>
      <c r="AB9">
        <v>12</v>
      </c>
      <c r="AC9">
        <v>10</v>
      </c>
      <c r="AD9">
        <v>9</v>
      </c>
      <c r="AE9">
        <v>17</v>
      </c>
      <c r="AF9">
        <v>19</v>
      </c>
      <c r="AG9">
        <v>16</v>
      </c>
      <c r="AH9">
        <v>11</v>
      </c>
      <c r="AI9">
        <v>5</v>
      </c>
      <c r="AJ9">
        <v>3</v>
      </c>
      <c r="AK9">
        <v>5</v>
      </c>
      <c r="AL9">
        <v>5</v>
      </c>
      <c r="AM9">
        <v>6</v>
      </c>
      <c r="AN9">
        <v>2</v>
      </c>
      <c r="AO9">
        <v>4</v>
      </c>
      <c r="AP9">
        <v>6</v>
      </c>
      <c r="AQ9">
        <v>31</v>
      </c>
      <c r="AR9">
        <v>35</v>
      </c>
      <c r="AS9">
        <v>24</v>
      </c>
      <c r="AT9">
        <v>18</v>
      </c>
      <c r="AU9">
        <v>15</v>
      </c>
      <c r="AV9">
        <v>16</v>
      </c>
      <c r="AW9">
        <v>15</v>
      </c>
      <c r="AX9">
        <v>13</v>
      </c>
      <c r="AY9">
        <v>20</v>
      </c>
      <c r="AZ9">
        <v>24</v>
      </c>
      <c r="BA9">
        <v>59</v>
      </c>
      <c r="BB9">
        <v>52</v>
      </c>
      <c r="BC9">
        <v>42</v>
      </c>
      <c r="BD9">
        <v>40</v>
      </c>
      <c r="BE9">
        <v>24</v>
      </c>
      <c r="BF9">
        <v>26</v>
      </c>
      <c r="BG9">
        <v>30</v>
      </c>
      <c r="BH9">
        <v>23</v>
      </c>
      <c r="BI9">
        <v>18</v>
      </c>
      <c r="BJ9">
        <v>20</v>
      </c>
      <c r="BK9">
        <v>50</v>
      </c>
      <c r="BL9">
        <v>69</v>
      </c>
      <c r="BM9">
        <v>58</v>
      </c>
      <c r="BN9">
        <v>49</v>
      </c>
      <c r="BO9">
        <v>37</v>
      </c>
      <c r="BP9">
        <v>41</v>
      </c>
      <c r="BQ9">
        <v>36</v>
      </c>
      <c r="BR9">
        <v>24</v>
      </c>
      <c r="BS9">
        <v>29</v>
      </c>
      <c r="BT9">
        <v>32</v>
      </c>
      <c r="BU9">
        <v>18</v>
      </c>
      <c r="BV9">
        <v>12</v>
      </c>
      <c r="BW9">
        <v>12</v>
      </c>
      <c r="BX9">
        <v>15</v>
      </c>
      <c r="BY9">
        <v>19</v>
      </c>
      <c r="BZ9">
        <v>18</v>
      </c>
      <c r="CA9">
        <v>18</v>
      </c>
      <c r="CB9">
        <v>18</v>
      </c>
      <c r="CC9">
        <v>39</v>
      </c>
      <c r="CD9">
        <v>39</v>
      </c>
    </row>
    <row r="10" spans="1:82" x14ac:dyDescent="0.3">
      <c r="A10" t="s">
        <v>91</v>
      </c>
      <c r="B10" t="str">
        <f t="shared" si="0"/>
        <v>WXY Index</v>
      </c>
      <c r="C10">
        <v>53</v>
      </c>
      <c r="D10">
        <v>28</v>
      </c>
      <c r="E10">
        <v>43</v>
      </c>
      <c r="F10">
        <v>15</v>
      </c>
      <c r="G10">
        <v>16</v>
      </c>
      <c r="H10">
        <v>21</v>
      </c>
      <c r="I10">
        <v>37</v>
      </c>
      <c r="J10">
        <v>36</v>
      </c>
      <c r="K10">
        <v>13</v>
      </c>
      <c r="L10">
        <v>15</v>
      </c>
      <c r="M10">
        <v>56</v>
      </c>
      <c r="N10">
        <v>32</v>
      </c>
      <c r="O10">
        <v>45</v>
      </c>
      <c r="P10">
        <v>27</v>
      </c>
      <c r="Q10">
        <v>27</v>
      </c>
      <c r="R10">
        <v>29</v>
      </c>
      <c r="S10">
        <v>46</v>
      </c>
      <c r="T10">
        <v>37</v>
      </c>
      <c r="U10">
        <v>18</v>
      </c>
      <c r="V10">
        <v>25</v>
      </c>
      <c r="W10">
        <v>48</v>
      </c>
      <c r="X10">
        <v>26</v>
      </c>
      <c r="Y10">
        <v>39</v>
      </c>
      <c r="Z10">
        <v>10</v>
      </c>
      <c r="AA10">
        <v>10</v>
      </c>
      <c r="AB10">
        <v>13</v>
      </c>
      <c r="AC10">
        <v>26</v>
      </c>
      <c r="AD10">
        <v>26</v>
      </c>
      <c r="AE10">
        <v>9</v>
      </c>
      <c r="AF10">
        <v>11</v>
      </c>
      <c r="AG10">
        <v>48</v>
      </c>
      <c r="AH10">
        <v>33</v>
      </c>
      <c r="AI10">
        <v>64</v>
      </c>
      <c r="AJ10">
        <v>35</v>
      </c>
      <c r="AK10">
        <v>20</v>
      </c>
      <c r="AL10">
        <v>22</v>
      </c>
      <c r="AM10">
        <v>43</v>
      </c>
      <c r="AN10">
        <v>56</v>
      </c>
      <c r="AO10">
        <v>38</v>
      </c>
      <c r="AP10">
        <v>62</v>
      </c>
      <c r="AQ10">
        <v>56</v>
      </c>
      <c r="AR10">
        <v>31</v>
      </c>
      <c r="AS10">
        <v>47</v>
      </c>
      <c r="AT10">
        <v>18</v>
      </c>
      <c r="AU10">
        <v>17</v>
      </c>
      <c r="AV10">
        <v>23</v>
      </c>
      <c r="AW10">
        <v>42</v>
      </c>
      <c r="AX10">
        <v>42</v>
      </c>
      <c r="AY10">
        <v>28</v>
      </c>
      <c r="AZ10">
        <v>34</v>
      </c>
      <c r="BA10">
        <v>43</v>
      </c>
      <c r="BB10">
        <v>55</v>
      </c>
      <c r="BC10">
        <v>50</v>
      </c>
      <c r="BD10">
        <v>45</v>
      </c>
      <c r="BE10">
        <v>47</v>
      </c>
      <c r="BF10">
        <v>49</v>
      </c>
      <c r="BG10">
        <v>41</v>
      </c>
      <c r="BH10">
        <v>28</v>
      </c>
      <c r="BI10">
        <v>24</v>
      </c>
      <c r="BJ10">
        <v>21</v>
      </c>
      <c r="BK10">
        <v>53</v>
      </c>
      <c r="BL10">
        <v>43</v>
      </c>
      <c r="BM10">
        <v>43</v>
      </c>
      <c r="BN10">
        <v>34</v>
      </c>
      <c r="BO10">
        <v>29</v>
      </c>
      <c r="BP10">
        <v>28</v>
      </c>
      <c r="BQ10">
        <v>47</v>
      </c>
      <c r="BR10">
        <v>49</v>
      </c>
      <c r="BS10">
        <v>43</v>
      </c>
      <c r="BT10">
        <v>45</v>
      </c>
      <c r="BU10">
        <v>68</v>
      </c>
      <c r="BV10">
        <v>39</v>
      </c>
      <c r="BW10">
        <v>55</v>
      </c>
      <c r="BX10">
        <v>36</v>
      </c>
      <c r="BY10">
        <v>35</v>
      </c>
      <c r="BZ10">
        <v>50</v>
      </c>
      <c r="CA10">
        <v>48</v>
      </c>
      <c r="CB10">
        <v>47</v>
      </c>
      <c r="CC10">
        <v>27</v>
      </c>
      <c r="CD10">
        <v>27</v>
      </c>
    </row>
    <row r="11" spans="1:82" x14ac:dyDescent="0.3">
      <c r="A11" t="s">
        <v>92</v>
      </c>
      <c r="B11" t="str">
        <f t="shared" si="0"/>
        <v>ZZZ Index</v>
      </c>
      <c r="C11">
        <v>52</v>
      </c>
      <c r="D11">
        <v>55</v>
      </c>
      <c r="E11">
        <v>53</v>
      </c>
      <c r="F11">
        <v>50</v>
      </c>
      <c r="G11">
        <v>56</v>
      </c>
      <c r="H11">
        <v>55</v>
      </c>
      <c r="I11">
        <v>53</v>
      </c>
      <c r="J11">
        <v>50</v>
      </c>
      <c r="K11">
        <v>47</v>
      </c>
      <c r="L11">
        <v>68</v>
      </c>
      <c r="M11">
        <v>20</v>
      </c>
      <c r="N11">
        <v>49</v>
      </c>
      <c r="O11">
        <v>41</v>
      </c>
      <c r="P11">
        <v>38</v>
      </c>
      <c r="Q11">
        <v>44</v>
      </c>
      <c r="R11">
        <v>44</v>
      </c>
      <c r="S11">
        <v>42</v>
      </c>
      <c r="T11">
        <v>40</v>
      </c>
      <c r="U11">
        <v>43</v>
      </c>
      <c r="V11">
        <v>33</v>
      </c>
      <c r="W11">
        <v>58</v>
      </c>
      <c r="X11">
        <v>59</v>
      </c>
      <c r="Y11">
        <v>56</v>
      </c>
      <c r="Z11">
        <v>55</v>
      </c>
      <c r="AA11">
        <v>57</v>
      </c>
      <c r="AB11">
        <v>57</v>
      </c>
      <c r="AC11">
        <v>54</v>
      </c>
      <c r="AD11">
        <v>48</v>
      </c>
      <c r="AE11">
        <v>46</v>
      </c>
      <c r="AF11">
        <v>63</v>
      </c>
      <c r="AG11">
        <v>30</v>
      </c>
      <c r="AH11">
        <v>30</v>
      </c>
      <c r="AI11">
        <v>9</v>
      </c>
      <c r="AJ11">
        <v>5</v>
      </c>
      <c r="AK11">
        <v>12</v>
      </c>
      <c r="AL11">
        <v>12</v>
      </c>
      <c r="AM11">
        <v>11</v>
      </c>
      <c r="AN11">
        <v>15</v>
      </c>
      <c r="AO11">
        <v>16</v>
      </c>
      <c r="AP11">
        <v>15</v>
      </c>
      <c r="AQ11">
        <v>56</v>
      </c>
      <c r="AR11">
        <v>55</v>
      </c>
      <c r="AS11">
        <v>49</v>
      </c>
      <c r="AT11">
        <v>50</v>
      </c>
      <c r="AU11">
        <v>48</v>
      </c>
      <c r="AV11">
        <v>51</v>
      </c>
      <c r="AW11">
        <v>44</v>
      </c>
      <c r="AX11">
        <v>42</v>
      </c>
      <c r="AY11">
        <v>46</v>
      </c>
      <c r="AZ11">
        <v>60</v>
      </c>
      <c r="BA11">
        <v>17</v>
      </c>
      <c r="BB11">
        <v>30</v>
      </c>
      <c r="BC11">
        <v>30</v>
      </c>
      <c r="BD11">
        <v>28</v>
      </c>
      <c r="BE11">
        <v>32</v>
      </c>
      <c r="BF11">
        <v>31</v>
      </c>
      <c r="BG11">
        <v>37</v>
      </c>
      <c r="BH11">
        <v>37</v>
      </c>
      <c r="BI11">
        <v>44</v>
      </c>
      <c r="BJ11">
        <v>23</v>
      </c>
      <c r="BK11">
        <v>67</v>
      </c>
      <c r="BL11">
        <v>63</v>
      </c>
      <c r="BM11">
        <v>61</v>
      </c>
      <c r="BN11">
        <v>55</v>
      </c>
      <c r="BO11">
        <v>63</v>
      </c>
      <c r="BP11">
        <v>61</v>
      </c>
      <c r="BQ11">
        <v>61</v>
      </c>
      <c r="BR11">
        <v>54</v>
      </c>
      <c r="BS11">
        <v>51</v>
      </c>
      <c r="BT11">
        <v>65</v>
      </c>
      <c r="BU11">
        <v>43</v>
      </c>
      <c r="BV11">
        <v>40</v>
      </c>
      <c r="BW11">
        <v>40</v>
      </c>
      <c r="BX11">
        <v>41</v>
      </c>
      <c r="BY11">
        <v>41</v>
      </c>
      <c r="BZ11">
        <v>41</v>
      </c>
      <c r="CA11">
        <v>40</v>
      </c>
      <c r="CB11">
        <v>41</v>
      </c>
      <c r="CC11">
        <v>45</v>
      </c>
      <c r="CD11">
        <v>44</v>
      </c>
    </row>
    <row r="12" spans="1:82" x14ac:dyDescent="0.3">
      <c r="A12" t="s">
        <v>93</v>
      </c>
      <c r="B12" t="str">
        <f t="shared" si="0"/>
        <v>AAA Index</v>
      </c>
      <c r="C12">
        <v>16</v>
      </c>
      <c r="D12">
        <v>4</v>
      </c>
      <c r="E12">
        <v>9</v>
      </c>
      <c r="F12">
        <v>7</v>
      </c>
      <c r="G12">
        <v>4</v>
      </c>
      <c r="H12">
        <v>6</v>
      </c>
      <c r="I12">
        <v>10</v>
      </c>
      <c r="J12">
        <v>18</v>
      </c>
      <c r="K12">
        <v>15</v>
      </c>
      <c r="L12">
        <v>23</v>
      </c>
      <c r="M12">
        <v>53</v>
      </c>
      <c r="N12">
        <v>20</v>
      </c>
      <c r="O12">
        <v>26</v>
      </c>
      <c r="P12">
        <v>23</v>
      </c>
      <c r="Q12">
        <v>24</v>
      </c>
      <c r="R12">
        <v>28</v>
      </c>
      <c r="S12">
        <v>28</v>
      </c>
      <c r="T12">
        <v>40</v>
      </c>
      <c r="U12">
        <v>47</v>
      </c>
      <c r="V12">
        <v>69</v>
      </c>
      <c r="W12">
        <v>23</v>
      </c>
      <c r="X12">
        <v>3</v>
      </c>
      <c r="Y12">
        <v>7</v>
      </c>
      <c r="Z12">
        <v>4</v>
      </c>
      <c r="AA12">
        <v>3</v>
      </c>
      <c r="AB12">
        <v>3</v>
      </c>
      <c r="AC12">
        <v>6</v>
      </c>
      <c r="AD12">
        <v>13</v>
      </c>
      <c r="AE12">
        <v>11</v>
      </c>
      <c r="AF12">
        <v>20</v>
      </c>
      <c r="AG12">
        <v>87</v>
      </c>
      <c r="AH12">
        <v>79</v>
      </c>
      <c r="AI12">
        <v>72</v>
      </c>
      <c r="AJ12">
        <v>79</v>
      </c>
      <c r="AK12">
        <v>49</v>
      </c>
      <c r="AL12">
        <v>51</v>
      </c>
      <c r="AM12">
        <v>55</v>
      </c>
      <c r="AN12">
        <v>52</v>
      </c>
      <c r="AO12">
        <v>74</v>
      </c>
      <c r="AP12">
        <v>77</v>
      </c>
      <c r="AQ12">
        <v>55</v>
      </c>
      <c r="AR12">
        <v>12</v>
      </c>
      <c r="AS12">
        <v>21</v>
      </c>
      <c r="AT12">
        <v>19</v>
      </c>
      <c r="AU12">
        <v>18</v>
      </c>
      <c r="AV12">
        <v>22</v>
      </c>
      <c r="AW12">
        <v>21</v>
      </c>
      <c r="AX12">
        <v>38</v>
      </c>
      <c r="AY12">
        <v>49</v>
      </c>
      <c r="AZ12">
        <v>76</v>
      </c>
      <c r="BA12">
        <v>48</v>
      </c>
      <c r="BB12">
        <v>64</v>
      </c>
      <c r="BC12">
        <v>59</v>
      </c>
      <c r="BD12">
        <v>57</v>
      </c>
      <c r="BE12">
        <v>58</v>
      </c>
      <c r="BF12">
        <v>60</v>
      </c>
      <c r="BG12">
        <v>60</v>
      </c>
      <c r="BH12">
        <v>66</v>
      </c>
      <c r="BI12">
        <v>64</v>
      </c>
      <c r="BJ12">
        <v>70</v>
      </c>
      <c r="BK12">
        <v>66</v>
      </c>
      <c r="BL12">
        <v>60</v>
      </c>
      <c r="BM12">
        <v>59</v>
      </c>
      <c r="BN12">
        <v>61</v>
      </c>
      <c r="BO12">
        <v>58</v>
      </c>
      <c r="BP12">
        <v>64</v>
      </c>
      <c r="BQ12">
        <v>69</v>
      </c>
      <c r="BR12">
        <v>75</v>
      </c>
      <c r="BS12">
        <v>78</v>
      </c>
      <c r="BT12">
        <v>89</v>
      </c>
      <c r="BU12">
        <v>17</v>
      </c>
      <c r="BV12">
        <v>11</v>
      </c>
      <c r="BW12">
        <v>13</v>
      </c>
      <c r="BX12">
        <v>13</v>
      </c>
      <c r="BY12">
        <v>13</v>
      </c>
      <c r="BZ12">
        <v>14</v>
      </c>
      <c r="CA12">
        <v>14</v>
      </c>
      <c r="CB12">
        <v>13</v>
      </c>
      <c r="CC12">
        <v>14</v>
      </c>
      <c r="CD12">
        <v>15</v>
      </c>
    </row>
    <row r="13" spans="1:82" x14ac:dyDescent="0.3">
      <c r="A13" t="s">
        <v>94</v>
      </c>
      <c r="B13" t="str">
        <f t="shared" si="0"/>
        <v>BBB Index</v>
      </c>
      <c r="C13">
        <v>52</v>
      </c>
      <c r="D13">
        <v>37</v>
      </c>
      <c r="E13">
        <v>34</v>
      </c>
      <c r="F13">
        <v>42</v>
      </c>
      <c r="G13">
        <v>33</v>
      </c>
      <c r="H13">
        <v>28</v>
      </c>
      <c r="I13">
        <v>41</v>
      </c>
      <c r="J13">
        <v>49</v>
      </c>
      <c r="K13">
        <v>39</v>
      </c>
      <c r="L13">
        <v>39</v>
      </c>
      <c r="M13">
        <v>86</v>
      </c>
      <c r="N13">
        <v>31</v>
      </c>
      <c r="O13">
        <v>38</v>
      </c>
      <c r="P13">
        <v>48</v>
      </c>
      <c r="Q13">
        <v>29</v>
      </c>
      <c r="R13">
        <v>18</v>
      </c>
      <c r="S13">
        <v>29</v>
      </c>
      <c r="T13">
        <v>55</v>
      </c>
      <c r="U13">
        <v>57</v>
      </c>
      <c r="V13">
        <v>66</v>
      </c>
      <c r="W13">
        <v>41</v>
      </c>
      <c r="X13">
        <v>30</v>
      </c>
      <c r="Y13">
        <v>30</v>
      </c>
      <c r="Z13">
        <v>35</v>
      </c>
      <c r="AA13">
        <v>29</v>
      </c>
      <c r="AB13">
        <v>25</v>
      </c>
      <c r="AC13">
        <v>37</v>
      </c>
      <c r="AD13">
        <v>45</v>
      </c>
      <c r="AE13">
        <v>38</v>
      </c>
      <c r="AF13">
        <v>38</v>
      </c>
      <c r="AG13">
        <v>47</v>
      </c>
      <c r="AH13">
        <v>29</v>
      </c>
      <c r="AI13">
        <v>52</v>
      </c>
      <c r="AJ13">
        <v>53</v>
      </c>
      <c r="AK13">
        <v>32</v>
      </c>
      <c r="AL13">
        <v>16</v>
      </c>
      <c r="AM13">
        <v>36</v>
      </c>
      <c r="AN13">
        <v>61</v>
      </c>
      <c r="AO13">
        <v>55</v>
      </c>
      <c r="AP13">
        <v>58</v>
      </c>
      <c r="AQ13">
        <v>48</v>
      </c>
      <c r="AR13">
        <v>36</v>
      </c>
      <c r="AS13">
        <v>36</v>
      </c>
      <c r="AT13">
        <v>42</v>
      </c>
      <c r="AU13">
        <v>34</v>
      </c>
      <c r="AV13">
        <v>28</v>
      </c>
      <c r="AW13">
        <v>46</v>
      </c>
      <c r="AX13">
        <v>55</v>
      </c>
      <c r="AY13">
        <v>55</v>
      </c>
      <c r="AZ13">
        <v>58</v>
      </c>
      <c r="BA13">
        <v>4</v>
      </c>
      <c r="BB13">
        <v>12</v>
      </c>
      <c r="BC13">
        <v>11</v>
      </c>
      <c r="BD13">
        <v>10</v>
      </c>
      <c r="BE13">
        <v>11</v>
      </c>
      <c r="BF13">
        <v>10</v>
      </c>
      <c r="BG13">
        <v>10</v>
      </c>
      <c r="BH13">
        <v>10</v>
      </c>
      <c r="BI13">
        <v>9</v>
      </c>
      <c r="BJ13">
        <v>8</v>
      </c>
      <c r="BK13">
        <v>53</v>
      </c>
      <c r="BL13">
        <v>47</v>
      </c>
      <c r="BM13">
        <v>46</v>
      </c>
      <c r="BN13">
        <v>51</v>
      </c>
      <c r="BO13">
        <v>44</v>
      </c>
      <c r="BP13">
        <v>43</v>
      </c>
      <c r="BQ13">
        <v>58</v>
      </c>
      <c r="BR13">
        <v>71</v>
      </c>
      <c r="BS13">
        <v>67</v>
      </c>
      <c r="BT13">
        <v>72</v>
      </c>
      <c r="BU13">
        <v>52</v>
      </c>
      <c r="BV13">
        <v>37</v>
      </c>
      <c r="BW13">
        <v>38</v>
      </c>
      <c r="BX13">
        <v>38</v>
      </c>
      <c r="BY13">
        <v>34</v>
      </c>
      <c r="BZ13">
        <v>34</v>
      </c>
      <c r="CA13">
        <v>33</v>
      </c>
      <c r="CB13">
        <v>33</v>
      </c>
      <c r="CC13">
        <v>28</v>
      </c>
      <c r="CD13">
        <v>28</v>
      </c>
    </row>
    <row r="14" spans="1:82" x14ac:dyDescent="0.3">
      <c r="A14" t="s">
        <v>95</v>
      </c>
      <c r="B14" t="str">
        <f t="shared" si="0"/>
        <v>CCC Index</v>
      </c>
      <c r="C14">
        <v>87</v>
      </c>
      <c r="D14">
        <v>84</v>
      </c>
      <c r="E14">
        <v>82</v>
      </c>
      <c r="F14">
        <v>69</v>
      </c>
      <c r="G14">
        <v>59</v>
      </c>
      <c r="H14">
        <v>49</v>
      </c>
      <c r="I14">
        <v>58</v>
      </c>
      <c r="J14">
        <v>57</v>
      </c>
      <c r="K14">
        <v>59</v>
      </c>
      <c r="L14">
        <v>40</v>
      </c>
      <c r="M14">
        <v>69</v>
      </c>
      <c r="N14">
        <v>83</v>
      </c>
      <c r="O14">
        <v>82</v>
      </c>
      <c r="P14">
        <v>62</v>
      </c>
      <c r="Q14">
        <v>56</v>
      </c>
      <c r="R14">
        <v>37</v>
      </c>
      <c r="S14">
        <v>56</v>
      </c>
      <c r="T14">
        <v>42</v>
      </c>
      <c r="U14">
        <v>39</v>
      </c>
      <c r="V14">
        <v>15</v>
      </c>
      <c r="W14">
        <v>74</v>
      </c>
      <c r="X14">
        <v>83</v>
      </c>
      <c r="Y14">
        <v>80</v>
      </c>
      <c r="Z14">
        <v>66</v>
      </c>
      <c r="AA14">
        <v>58</v>
      </c>
      <c r="AB14">
        <v>45</v>
      </c>
      <c r="AC14">
        <v>57</v>
      </c>
      <c r="AD14">
        <v>53</v>
      </c>
      <c r="AE14">
        <v>49</v>
      </c>
      <c r="AF14">
        <v>42</v>
      </c>
      <c r="AG14">
        <v>67</v>
      </c>
      <c r="AH14">
        <v>74</v>
      </c>
      <c r="AI14">
        <v>76</v>
      </c>
      <c r="AJ14">
        <v>61</v>
      </c>
      <c r="AK14">
        <v>46</v>
      </c>
      <c r="AL14">
        <v>19</v>
      </c>
      <c r="AM14">
        <v>38</v>
      </c>
      <c r="AN14">
        <v>39</v>
      </c>
      <c r="AO14">
        <v>35</v>
      </c>
      <c r="AP14">
        <v>10</v>
      </c>
      <c r="AQ14">
        <v>68</v>
      </c>
      <c r="AR14">
        <v>83</v>
      </c>
      <c r="AS14">
        <v>81</v>
      </c>
      <c r="AT14">
        <v>66</v>
      </c>
      <c r="AU14">
        <v>58</v>
      </c>
      <c r="AV14">
        <v>48</v>
      </c>
      <c r="AW14">
        <v>59</v>
      </c>
      <c r="AX14">
        <v>53</v>
      </c>
      <c r="AY14">
        <v>49</v>
      </c>
      <c r="AZ14">
        <v>25</v>
      </c>
      <c r="BA14">
        <v>25</v>
      </c>
      <c r="BB14">
        <v>31</v>
      </c>
      <c r="BC14">
        <v>28</v>
      </c>
      <c r="BD14">
        <v>33</v>
      </c>
      <c r="BE14">
        <v>27</v>
      </c>
      <c r="BF14">
        <v>26</v>
      </c>
      <c r="BG14">
        <v>35</v>
      </c>
      <c r="BH14">
        <v>24</v>
      </c>
      <c r="BI14">
        <v>24</v>
      </c>
      <c r="BJ14">
        <v>12</v>
      </c>
      <c r="BK14">
        <v>52</v>
      </c>
      <c r="BL14">
        <v>63</v>
      </c>
      <c r="BM14">
        <v>65</v>
      </c>
      <c r="BN14">
        <v>48</v>
      </c>
      <c r="BO14">
        <v>44</v>
      </c>
      <c r="BP14">
        <v>32</v>
      </c>
      <c r="BQ14">
        <v>49</v>
      </c>
      <c r="BR14">
        <v>43</v>
      </c>
      <c r="BS14">
        <v>40</v>
      </c>
      <c r="BT14">
        <v>21</v>
      </c>
      <c r="BU14">
        <v>82</v>
      </c>
      <c r="BV14">
        <v>73</v>
      </c>
      <c r="BW14">
        <v>71</v>
      </c>
      <c r="BX14">
        <v>71</v>
      </c>
      <c r="BY14">
        <v>67</v>
      </c>
      <c r="BZ14">
        <v>64</v>
      </c>
      <c r="CA14">
        <v>64</v>
      </c>
      <c r="CB14">
        <v>64</v>
      </c>
      <c r="CC14">
        <v>63</v>
      </c>
      <c r="CD14">
        <v>64</v>
      </c>
    </row>
    <row r="15" spans="1:82" x14ac:dyDescent="0.3">
      <c r="A15" t="s">
        <v>96</v>
      </c>
      <c r="B15" t="str">
        <f t="shared" si="0"/>
        <v>DDD Index</v>
      </c>
      <c r="C15">
        <v>63</v>
      </c>
      <c r="D15">
        <v>63</v>
      </c>
      <c r="E15">
        <v>57</v>
      </c>
      <c r="F15">
        <v>69</v>
      </c>
      <c r="G15">
        <v>61</v>
      </c>
      <c r="H15">
        <v>76</v>
      </c>
      <c r="I15">
        <v>85</v>
      </c>
      <c r="J15">
        <v>83</v>
      </c>
      <c r="K15">
        <v>80</v>
      </c>
      <c r="L15">
        <v>80</v>
      </c>
      <c r="M15">
        <v>46</v>
      </c>
      <c r="N15">
        <v>59</v>
      </c>
      <c r="O15">
        <v>55</v>
      </c>
      <c r="P15">
        <v>75</v>
      </c>
      <c r="Q15">
        <v>60</v>
      </c>
      <c r="R15">
        <v>77</v>
      </c>
      <c r="S15">
        <v>97</v>
      </c>
      <c r="T15">
        <v>96</v>
      </c>
      <c r="U15">
        <v>87</v>
      </c>
      <c r="V15">
        <v>81</v>
      </c>
      <c r="W15">
        <v>49</v>
      </c>
      <c r="X15">
        <v>54</v>
      </c>
      <c r="Y15">
        <v>51</v>
      </c>
      <c r="Z15">
        <v>63</v>
      </c>
      <c r="AA15">
        <v>56</v>
      </c>
      <c r="AB15">
        <v>69</v>
      </c>
      <c r="AC15">
        <v>83</v>
      </c>
      <c r="AD15">
        <v>81</v>
      </c>
      <c r="AE15">
        <v>76</v>
      </c>
      <c r="AF15">
        <v>76</v>
      </c>
      <c r="AG15">
        <v>30</v>
      </c>
      <c r="AH15">
        <v>32</v>
      </c>
      <c r="AI15">
        <v>31</v>
      </c>
      <c r="AJ15">
        <v>54</v>
      </c>
      <c r="AK15">
        <v>49</v>
      </c>
      <c r="AL15">
        <v>73</v>
      </c>
      <c r="AM15">
        <v>92</v>
      </c>
      <c r="AN15">
        <v>89</v>
      </c>
      <c r="AO15">
        <v>74</v>
      </c>
      <c r="AP15">
        <v>51</v>
      </c>
      <c r="AQ15">
        <v>42</v>
      </c>
      <c r="AR15">
        <v>49</v>
      </c>
      <c r="AS15">
        <v>46</v>
      </c>
      <c r="AT15">
        <v>56</v>
      </c>
      <c r="AU15">
        <v>47</v>
      </c>
      <c r="AV15">
        <v>58</v>
      </c>
      <c r="AW15">
        <v>82</v>
      </c>
      <c r="AX15">
        <v>78</v>
      </c>
      <c r="AY15">
        <v>71</v>
      </c>
      <c r="AZ15">
        <v>67</v>
      </c>
      <c r="BA15">
        <v>11</v>
      </c>
      <c r="BB15">
        <v>13</v>
      </c>
      <c r="BC15">
        <v>16</v>
      </c>
      <c r="BD15">
        <v>13</v>
      </c>
      <c r="BE15">
        <v>13</v>
      </c>
      <c r="BF15">
        <v>13</v>
      </c>
      <c r="BG15">
        <v>8</v>
      </c>
      <c r="BH15">
        <v>8</v>
      </c>
      <c r="BI15">
        <v>13</v>
      </c>
      <c r="BJ15">
        <v>13</v>
      </c>
      <c r="BK15">
        <v>36</v>
      </c>
      <c r="BL15">
        <v>34</v>
      </c>
      <c r="BM15">
        <v>33</v>
      </c>
      <c r="BN15">
        <v>40</v>
      </c>
      <c r="BO15">
        <v>32</v>
      </c>
      <c r="BP15">
        <v>44</v>
      </c>
      <c r="BQ15">
        <v>68</v>
      </c>
      <c r="BR15">
        <v>67</v>
      </c>
      <c r="BS15">
        <v>56</v>
      </c>
      <c r="BT15">
        <v>53</v>
      </c>
      <c r="BU15">
        <v>77</v>
      </c>
      <c r="BV15">
        <v>76</v>
      </c>
      <c r="BW15">
        <v>77</v>
      </c>
      <c r="BX15">
        <v>77</v>
      </c>
      <c r="BY15">
        <v>77</v>
      </c>
      <c r="BZ15">
        <v>77</v>
      </c>
      <c r="CA15">
        <v>77</v>
      </c>
      <c r="CB15">
        <v>77</v>
      </c>
      <c r="CC15">
        <v>76</v>
      </c>
      <c r="CD15">
        <v>76</v>
      </c>
    </row>
    <row r="16" spans="1:82" x14ac:dyDescent="0.3">
      <c r="A16" t="s">
        <v>97</v>
      </c>
      <c r="B16" t="str">
        <f t="shared" si="0"/>
        <v>EEE Index</v>
      </c>
      <c r="C16">
        <v>73</v>
      </c>
      <c r="D16">
        <v>82</v>
      </c>
      <c r="E16">
        <v>75</v>
      </c>
      <c r="F16">
        <v>86</v>
      </c>
      <c r="G16">
        <v>69</v>
      </c>
      <c r="H16">
        <v>82</v>
      </c>
      <c r="I16">
        <v>80</v>
      </c>
      <c r="J16">
        <v>74</v>
      </c>
      <c r="K16">
        <v>62</v>
      </c>
      <c r="L16">
        <v>53</v>
      </c>
      <c r="M16">
        <v>79</v>
      </c>
      <c r="N16">
        <v>85</v>
      </c>
      <c r="O16">
        <v>85</v>
      </c>
      <c r="P16">
        <v>92</v>
      </c>
      <c r="Q16">
        <v>75</v>
      </c>
      <c r="R16">
        <v>86</v>
      </c>
      <c r="S16">
        <v>88</v>
      </c>
      <c r="T16">
        <v>73</v>
      </c>
      <c r="U16">
        <v>43</v>
      </c>
      <c r="V16">
        <v>26</v>
      </c>
      <c r="W16">
        <v>71</v>
      </c>
      <c r="X16">
        <v>76</v>
      </c>
      <c r="Y16">
        <v>71</v>
      </c>
      <c r="Z16">
        <v>81</v>
      </c>
      <c r="AA16">
        <v>66</v>
      </c>
      <c r="AB16">
        <v>80</v>
      </c>
      <c r="AC16">
        <v>78</v>
      </c>
      <c r="AD16">
        <v>68</v>
      </c>
      <c r="AE16">
        <v>57</v>
      </c>
      <c r="AF16">
        <v>54</v>
      </c>
      <c r="AG16">
        <v>70</v>
      </c>
      <c r="AH16">
        <v>72</v>
      </c>
      <c r="AI16">
        <v>66</v>
      </c>
      <c r="AJ16">
        <v>71</v>
      </c>
      <c r="AK16">
        <v>42</v>
      </c>
      <c r="AL16">
        <v>67</v>
      </c>
      <c r="AM16">
        <v>71</v>
      </c>
      <c r="AN16">
        <v>46</v>
      </c>
      <c r="AO16">
        <v>33</v>
      </c>
      <c r="AP16">
        <v>34</v>
      </c>
      <c r="AQ16">
        <v>68</v>
      </c>
      <c r="AR16">
        <v>75</v>
      </c>
      <c r="AS16">
        <v>74</v>
      </c>
      <c r="AT16">
        <v>81</v>
      </c>
      <c r="AU16">
        <v>66</v>
      </c>
      <c r="AV16">
        <v>79</v>
      </c>
      <c r="AW16">
        <v>78</v>
      </c>
      <c r="AX16">
        <v>63</v>
      </c>
      <c r="AY16">
        <v>45</v>
      </c>
      <c r="AZ16">
        <v>26</v>
      </c>
      <c r="BA16">
        <v>7</v>
      </c>
      <c r="BB16">
        <v>8</v>
      </c>
      <c r="BC16">
        <v>12</v>
      </c>
      <c r="BD16">
        <v>9</v>
      </c>
      <c r="BE16">
        <v>20</v>
      </c>
      <c r="BF16">
        <v>17</v>
      </c>
      <c r="BG16">
        <v>18</v>
      </c>
      <c r="BH16">
        <v>13</v>
      </c>
      <c r="BI16">
        <v>31</v>
      </c>
      <c r="BJ16">
        <v>36</v>
      </c>
      <c r="BK16">
        <v>64</v>
      </c>
      <c r="BL16">
        <v>60</v>
      </c>
      <c r="BM16">
        <v>41</v>
      </c>
      <c r="BN16">
        <v>49</v>
      </c>
      <c r="BO16">
        <v>49</v>
      </c>
      <c r="BP16">
        <v>53</v>
      </c>
      <c r="BQ16">
        <v>67</v>
      </c>
      <c r="BR16">
        <v>46</v>
      </c>
      <c r="BS16">
        <v>25</v>
      </c>
      <c r="BT16">
        <v>17</v>
      </c>
      <c r="BU16">
        <v>68</v>
      </c>
      <c r="BV16">
        <v>80</v>
      </c>
      <c r="BW16">
        <v>79</v>
      </c>
      <c r="BX16">
        <v>79</v>
      </c>
      <c r="BY16">
        <v>73</v>
      </c>
      <c r="BZ16">
        <v>75</v>
      </c>
      <c r="CA16">
        <v>74</v>
      </c>
      <c r="CB16">
        <v>74</v>
      </c>
      <c r="CC16">
        <v>67</v>
      </c>
      <c r="CD16">
        <v>67</v>
      </c>
    </row>
    <row r="17" spans="1:82" x14ac:dyDescent="0.3">
      <c r="A17" t="s">
        <v>98</v>
      </c>
      <c r="B17" t="str">
        <f t="shared" si="0"/>
        <v>FFF Index</v>
      </c>
      <c r="C17">
        <v>59</v>
      </c>
      <c r="D17">
        <v>30</v>
      </c>
      <c r="E17">
        <v>37</v>
      </c>
      <c r="F17">
        <v>24</v>
      </c>
      <c r="G17">
        <v>28</v>
      </c>
      <c r="H17">
        <v>28</v>
      </c>
      <c r="I17">
        <v>24</v>
      </c>
      <c r="J17">
        <v>27</v>
      </c>
      <c r="K17">
        <v>14</v>
      </c>
      <c r="L17">
        <v>18</v>
      </c>
      <c r="M17">
        <v>71</v>
      </c>
      <c r="N17">
        <v>48</v>
      </c>
      <c r="O17">
        <v>49</v>
      </c>
      <c r="P17">
        <v>42</v>
      </c>
      <c r="Q17">
        <v>46</v>
      </c>
      <c r="R17">
        <v>52</v>
      </c>
      <c r="S17">
        <v>41</v>
      </c>
      <c r="T17">
        <v>52</v>
      </c>
      <c r="U17">
        <v>48</v>
      </c>
      <c r="V17">
        <v>61</v>
      </c>
      <c r="W17">
        <v>59</v>
      </c>
      <c r="X17">
        <v>27</v>
      </c>
      <c r="Y17">
        <v>32</v>
      </c>
      <c r="Z17">
        <v>15</v>
      </c>
      <c r="AA17">
        <v>18</v>
      </c>
      <c r="AB17">
        <v>17</v>
      </c>
      <c r="AC17">
        <v>12</v>
      </c>
      <c r="AD17">
        <v>22</v>
      </c>
      <c r="AE17">
        <v>10</v>
      </c>
      <c r="AF17">
        <v>14</v>
      </c>
      <c r="AG17">
        <v>33</v>
      </c>
      <c r="AH17">
        <v>26</v>
      </c>
      <c r="AI17">
        <v>32</v>
      </c>
      <c r="AJ17">
        <v>29</v>
      </c>
      <c r="AK17">
        <v>18</v>
      </c>
      <c r="AL17">
        <v>20</v>
      </c>
      <c r="AM17">
        <v>20</v>
      </c>
      <c r="AN17">
        <v>19</v>
      </c>
      <c r="AO17">
        <v>12</v>
      </c>
      <c r="AP17">
        <v>16</v>
      </c>
      <c r="AQ17">
        <v>70</v>
      </c>
      <c r="AR17">
        <v>46</v>
      </c>
      <c r="AS17">
        <v>49</v>
      </c>
      <c r="AT17">
        <v>43</v>
      </c>
      <c r="AU17">
        <v>42</v>
      </c>
      <c r="AV17">
        <v>48</v>
      </c>
      <c r="AW17">
        <v>41</v>
      </c>
      <c r="AX17">
        <v>52</v>
      </c>
      <c r="AY17">
        <v>47</v>
      </c>
      <c r="AZ17">
        <v>61</v>
      </c>
      <c r="BA17">
        <v>30</v>
      </c>
      <c r="BB17">
        <v>58</v>
      </c>
      <c r="BC17">
        <v>58</v>
      </c>
      <c r="BD17">
        <v>58</v>
      </c>
      <c r="BE17">
        <v>61</v>
      </c>
      <c r="BF17">
        <v>61</v>
      </c>
      <c r="BG17">
        <v>51</v>
      </c>
      <c r="BH17">
        <v>53</v>
      </c>
      <c r="BI17">
        <v>49</v>
      </c>
      <c r="BJ17">
        <v>49</v>
      </c>
      <c r="BK17">
        <v>83</v>
      </c>
      <c r="BL17">
        <v>86</v>
      </c>
      <c r="BM17">
        <v>89</v>
      </c>
      <c r="BN17">
        <v>88</v>
      </c>
      <c r="BO17">
        <v>89</v>
      </c>
      <c r="BP17">
        <v>87</v>
      </c>
      <c r="BQ17">
        <v>85</v>
      </c>
      <c r="BR17">
        <v>87</v>
      </c>
      <c r="BS17">
        <v>84</v>
      </c>
      <c r="BT17">
        <v>90</v>
      </c>
      <c r="BU17">
        <v>37</v>
      </c>
      <c r="BV17">
        <v>8</v>
      </c>
      <c r="BW17">
        <v>9</v>
      </c>
      <c r="BX17">
        <v>8</v>
      </c>
      <c r="BY17">
        <v>7</v>
      </c>
      <c r="BZ17">
        <v>8</v>
      </c>
      <c r="CA17">
        <v>7</v>
      </c>
      <c r="CB17">
        <v>8</v>
      </c>
      <c r="CC17">
        <v>7</v>
      </c>
      <c r="CD17">
        <v>7</v>
      </c>
    </row>
    <row r="18" spans="1:82" x14ac:dyDescent="0.3">
      <c r="A18" t="s">
        <v>99</v>
      </c>
      <c r="B18" t="str">
        <f t="shared" si="0"/>
        <v>GGG Index</v>
      </c>
      <c r="C18">
        <v>79</v>
      </c>
      <c r="D18">
        <v>81</v>
      </c>
      <c r="E18">
        <v>59</v>
      </c>
      <c r="F18">
        <v>73</v>
      </c>
      <c r="G18">
        <v>68</v>
      </c>
      <c r="H18">
        <v>76</v>
      </c>
      <c r="I18">
        <v>66</v>
      </c>
      <c r="J18">
        <v>63</v>
      </c>
      <c r="K18">
        <v>75</v>
      </c>
      <c r="L18">
        <v>61</v>
      </c>
      <c r="M18">
        <v>67</v>
      </c>
      <c r="N18">
        <v>82</v>
      </c>
      <c r="O18">
        <v>63</v>
      </c>
      <c r="P18">
        <v>76</v>
      </c>
      <c r="Q18">
        <v>77</v>
      </c>
      <c r="R18">
        <v>79</v>
      </c>
      <c r="S18">
        <v>69</v>
      </c>
      <c r="T18">
        <v>42</v>
      </c>
      <c r="U18">
        <v>36</v>
      </c>
      <c r="V18">
        <v>21</v>
      </c>
      <c r="W18">
        <v>69</v>
      </c>
      <c r="X18">
        <v>74</v>
      </c>
      <c r="Y18">
        <v>59</v>
      </c>
      <c r="Z18">
        <v>71</v>
      </c>
      <c r="AA18">
        <v>68</v>
      </c>
      <c r="AB18">
        <v>74</v>
      </c>
      <c r="AC18">
        <v>57</v>
      </c>
      <c r="AD18">
        <v>38</v>
      </c>
      <c r="AE18">
        <v>49</v>
      </c>
      <c r="AF18">
        <v>41</v>
      </c>
      <c r="AG18">
        <v>46</v>
      </c>
      <c r="AH18">
        <v>70</v>
      </c>
      <c r="AI18">
        <v>60</v>
      </c>
      <c r="AJ18">
        <v>64</v>
      </c>
      <c r="AK18">
        <v>58</v>
      </c>
      <c r="AL18">
        <v>52</v>
      </c>
      <c r="AM18">
        <v>47</v>
      </c>
      <c r="AN18">
        <v>41</v>
      </c>
      <c r="AO18">
        <v>21</v>
      </c>
      <c r="AP18">
        <v>5</v>
      </c>
      <c r="AQ18">
        <v>67</v>
      </c>
      <c r="AR18">
        <v>75</v>
      </c>
      <c r="AS18">
        <v>59</v>
      </c>
      <c r="AT18">
        <v>69</v>
      </c>
      <c r="AU18">
        <v>68</v>
      </c>
      <c r="AV18">
        <v>76</v>
      </c>
      <c r="AW18">
        <v>55</v>
      </c>
      <c r="AX18">
        <v>31</v>
      </c>
      <c r="AY18">
        <v>36</v>
      </c>
      <c r="AZ18">
        <v>28</v>
      </c>
      <c r="BA18">
        <v>3</v>
      </c>
      <c r="BB18">
        <v>3</v>
      </c>
      <c r="BC18">
        <v>4</v>
      </c>
      <c r="BD18">
        <v>7</v>
      </c>
      <c r="BE18">
        <v>6</v>
      </c>
      <c r="BF18">
        <v>5</v>
      </c>
      <c r="BG18">
        <v>4</v>
      </c>
      <c r="BH18">
        <v>1</v>
      </c>
      <c r="BI18">
        <v>1</v>
      </c>
      <c r="BJ18">
        <v>1</v>
      </c>
      <c r="BK18">
        <v>47</v>
      </c>
      <c r="BL18">
        <v>55</v>
      </c>
      <c r="BM18">
        <v>55</v>
      </c>
      <c r="BN18">
        <v>68</v>
      </c>
      <c r="BO18">
        <v>58</v>
      </c>
      <c r="BP18">
        <v>74</v>
      </c>
      <c r="BQ18">
        <v>46</v>
      </c>
      <c r="BR18">
        <v>24</v>
      </c>
      <c r="BS18">
        <v>31</v>
      </c>
      <c r="BT18">
        <v>20</v>
      </c>
      <c r="BU18">
        <v>89</v>
      </c>
      <c r="BV18">
        <v>84</v>
      </c>
      <c r="BW18">
        <v>58</v>
      </c>
      <c r="BX18">
        <v>58</v>
      </c>
      <c r="BY18">
        <v>58</v>
      </c>
      <c r="BZ18">
        <v>58</v>
      </c>
      <c r="CA18">
        <v>58</v>
      </c>
      <c r="CB18">
        <v>57</v>
      </c>
      <c r="CC18">
        <v>54</v>
      </c>
      <c r="CD18">
        <v>54</v>
      </c>
    </row>
    <row r="19" spans="1:82" x14ac:dyDescent="0.3">
      <c r="A19" t="s">
        <v>100</v>
      </c>
      <c r="B19" t="str">
        <f t="shared" si="0"/>
        <v>HHH Index</v>
      </c>
      <c r="C19">
        <v>40</v>
      </c>
      <c r="D19">
        <v>72</v>
      </c>
      <c r="E19">
        <v>55</v>
      </c>
      <c r="F19">
        <v>71</v>
      </c>
      <c r="G19">
        <v>50</v>
      </c>
      <c r="H19">
        <v>62</v>
      </c>
      <c r="I19">
        <v>70</v>
      </c>
      <c r="J19">
        <v>70</v>
      </c>
      <c r="K19">
        <v>68</v>
      </c>
      <c r="L19">
        <v>63</v>
      </c>
      <c r="M19">
        <v>34</v>
      </c>
      <c r="N19">
        <v>72</v>
      </c>
      <c r="O19">
        <v>48</v>
      </c>
      <c r="P19">
        <v>60</v>
      </c>
      <c r="Q19">
        <v>37</v>
      </c>
      <c r="R19">
        <v>41</v>
      </c>
      <c r="S19">
        <v>62</v>
      </c>
      <c r="T19">
        <v>60</v>
      </c>
      <c r="U19">
        <v>50</v>
      </c>
      <c r="V19">
        <v>40</v>
      </c>
      <c r="W19">
        <v>50</v>
      </c>
      <c r="X19">
        <v>75</v>
      </c>
      <c r="Y19">
        <v>54</v>
      </c>
      <c r="Z19">
        <v>69</v>
      </c>
      <c r="AA19">
        <v>48</v>
      </c>
      <c r="AB19">
        <v>56</v>
      </c>
      <c r="AC19">
        <v>68</v>
      </c>
      <c r="AD19">
        <v>68</v>
      </c>
      <c r="AE19">
        <v>63</v>
      </c>
      <c r="AF19">
        <v>55</v>
      </c>
      <c r="AG19">
        <v>35</v>
      </c>
      <c r="AH19">
        <v>52</v>
      </c>
      <c r="AI19">
        <v>49</v>
      </c>
      <c r="AJ19">
        <v>48</v>
      </c>
      <c r="AK19">
        <v>30</v>
      </c>
      <c r="AL19">
        <v>35</v>
      </c>
      <c r="AM19">
        <v>41</v>
      </c>
      <c r="AN19">
        <v>69</v>
      </c>
      <c r="AO19">
        <v>40</v>
      </c>
      <c r="AP19">
        <v>34</v>
      </c>
      <c r="AQ19">
        <v>36</v>
      </c>
      <c r="AR19">
        <v>72</v>
      </c>
      <c r="AS19">
        <v>55</v>
      </c>
      <c r="AT19">
        <v>64</v>
      </c>
      <c r="AU19">
        <v>45</v>
      </c>
      <c r="AV19">
        <v>45</v>
      </c>
      <c r="AW19">
        <v>65</v>
      </c>
      <c r="AX19">
        <v>62</v>
      </c>
      <c r="AY19">
        <v>58</v>
      </c>
      <c r="AZ19">
        <v>42</v>
      </c>
      <c r="BA19">
        <v>48</v>
      </c>
      <c r="BB19">
        <v>52</v>
      </c>
      <c r="BC19">
        <v>34</v>
      </c>
      <c r="BD19">
        <v>29</v>
      </c>
      <c r="BE19">
        <v>21</v>
      </c>
      <c r="BF19">
        <v>11</v>
      </c>
      <c r="BG19">
        <v>6</v>
      </c>
      <c r="BH19">
        <v>3</v>
      </c>
      <c r="BI19">
        <v>4</v>
      </c>
      <c r="BJ19">
        <v>18</v>
      </c>
      <c r="BK19">
        <v>41</v>
      </c>
      <c r="BL19">
        <v>59</v>
      </c>
      <c r="BM19">
        <v>34</v>
      </c>
      <c r="BN19">
        <v>39</v>
      </c>
      <c r="BO19">
        <v>22</v>
      </c>
      <c r="BP19">
        <v>20</v>
      </c>
      <c r="BQ19">
        <v>36</v>
      </c>
      <c r="BR19">
        <v>45</v>
      </c>
      <c r="BS19">
        <v>38</v>
      </c>
      <c r="BT19">
        <v>29</v>
      </c>
      <c r="BU19">
        <v>40</v>
      </c>
      <c r="BV19">
        <v>69</v>
      </c>
      <c r="BW19">
        <v>74</v>
      </c>
      <c r="BX19">
        <v>81</v>
      </c>
      <c r="BY19">
        <v>80</v>
      </c>
      <c r="BZ19">
        <v>80</v>
      </c>
      <c r="CA19">
        <v>80</v>
      </c>
      <c r="CB19">
        <v>79</v>
      </c>
      <c r="CC19">
        <v>78</v>
      </c>
      <c r="CD19">
        <v>78</v>
      </c>
    </row>
    <row r="20" spans="1:82" x14ac:dyDescent="0.3">
      <c r="A20" t="s">
        <v>101</v>
      </c>
      <c r="B20" t="str">
        <f t="shared" si="0"/>
        <v>III Index</v>
      </c>
      <c r="C20">
        <v>52</v>
      </c>
      <c r="D20">
        <v>36</v>
      </c>
      <c r="E20">
        <v>18</v>
      </c>
      <c r="F20">
        <v>19</v>
      </c>
      <c r="G20">
        <v>19</v>
      </c>
      <c r="H20">
        <v>22</v>
      </c>
      <c r="I20">
        <v>33</v>
      </c>
      <c r="J20">
        <v>30</v>
      </c>
      <c r="K20">
        <v>30</v>
      </c>
      <c r="L20">
        <v>28</v>
      </c>
      <c r="M20">
        <v>65</v>
      </c>
      <c r="N20">
        <v>37</v>
      </c>
      <c r="O20">
        <v>22</v>
      </c>
      <c r="P20">
        <v>15</v>
      </c>
      <c r="Q20">
        <v>20</v>
      </c>
      <c r="R20">
        <v>21</v>
      </c>
      <c r="S20">
        <v>37</v>
      </c>
      <c r="T20">
        <v>30</v>
      </c>
      <c r="U20">
        <v>35</v>
      </c>
      <c r="V20">
        <v>15</v>
      </c>
      <c r="W20">
        <v>48</v>
      </c>
      <c r="X20">
        <v>32</v>
      </c>
      <c r="Y20">
        <v>15</v>
      </c>
      <c r="Z20">
        <v>15</v>
      </c>
      <c r="AA20">
        <v>15</v>
      </c>
      <c r="AB20">
        <v>18</v>
      </c>
      <c r="AC20">
        <v>29</v>
      </c>
      <c r="AD20">
        <v>28</v>
      </c>
      <c r="AE20">
        <v>25</v>
      </c>
      <c r="AF20">
        <v>19</v>
      </c>
      <c r="AG20">
        <v>42</v>
      </c>
      <c r="AH20">
        <v>19</v>
      </c>
      <c r="AI20">
        <v>15</v>
      </c>
      <c r="AJ20">
        <v>14</v>
      </c>
      <c r="AK20">
        <v>33</v>
      </c>
      <c r="AL20">
        <v>40</v>
      </c>
      <c r="AM20">
        <v>38</v>
      </c>
      <c r="AN20">
        <v>17</v>
      </c>
      <c r="AO20">
        <v>35</v>
      </c>
      <c r="AP20">
        <v>16</v>
      </c>
      <c r="AQ20">
        <v>65</v>
      </c>
      <c r="AR20">
        <v>36</v>
      </c>
      <c r="AS20">
        <v>23</v>
      </c>
      <c r="AT20">
        <v>15</v>
      </c>
      <c r="AU20">
        <v>19</v>
      </c>
      <c r="AV20">
        <v>21</v>
      </c>
      <c r="AW20">
        <v>34</v>
      </c>
      <c r="AX20">
        <v>30</v>
      </c>
      <c r="AY20">
        <v>30</v>
      </c>
      <c r="AZ20">
        <v>15</v>
      </c>
      <c r="BA20">
        <v>44</v>
      </c>
      <c r="BB20">
        <v>46</v>
      </c>
      <c r="BC20">
        <v>46</v>
      </c>
      <c r="BD20">
        <v>35</v>
      </c>
      <c r="BE20">
        <v>36</v>
      </c>
      <c r="BF20">
        <v>37</v>
      </c>
      <c r="BG20">
        <v>34</v>
      </c>
      <c r="BH20">
        <v>34</v>
      </c>
      <c r="BI20">
        <v>32</v>
      </c>
      <c r="BJ20">
        <v>38</v>
      </c>
      <c r="BK20">
        <v>65</v>
      </c>
      <c r="BL20">
        <v>60</v>
      </c>
      <c r="BM20">
        <v>59</v>
      </c>
      <c r="BN20">
        <v>44</v>
      </c>
      <c r="BO20">
        <v>47</v>
      </c>
      <c r="BP20">
        <v>53</v>
      </c>
      <c r="BQ20">
        <v>65</v>
      </c>
      <c r="BR20">
        <v>59</v>
      </c>
      <c r="BS20">
        <v>56</v>
      </c>
      <c r="BT20">
        <v>37</v>
      </c>
      <c r="BU20">
        <v>44</v>
      </c>
      <c r="BV20">
        <v>35</v>
      </c>
      <c r="BW20">
        <v>21</v>
      </c>
      <c r="BX20">
        <v>21</v>
      </c>
      <c r="BY20">
        <v>20</v>
      </c>
      <c r="BZ20">
        <v>20</v>
      </c>
      <c r="CA20">
        <v>20</v>
      </c>
      <c r="CB20">
        <v>20</v>
      </c>
      <c r="CC20">
        <v>21</v>
      </c>
      <c r="CD20">
        <v>21</v>
      </c>
    </row>
    <row r="21" spans="1:82" x14ac:dyDescent="0.3">
      <c r="A21" t="s">
        <v>102</v>
      </c>
      <c r="B21" t="str">
        <f t="shared" si="0"/>
        <v>JJJ Index</v>
      </c>
      <c r="C21">
        <v>32</v>
      </c>
      <c r="D21">
        <v>37</v>
      </c>
      <c r="E21">
        <v>7</v>
      </c>
      <c r="F21">
        <v>3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54</v>
      </c>
      <c r="N21">
        <v>70</v>
      </c>
      <c r="O21">
        <v>31</v>
      </c>
      <c r="P21">
        <v>19</v>
      </c>
      <c r="Q21">
        <v>17</v>
      </c>
      <c r="R21">
        <v>11</v>
      </c>
      <c r="S21">
        <v>7</v>
      </c>
      <c r="T21">
        <v>2</v>
      </c>
      <c r="U21">
        <v>1</v>
      </c>
      <c r="V21">
        <v>1</v>
      </c>
      <c r="W21">
        <v>46</v>
      </c>
      <c r="X21">
        <v>41</v>
      </c>
      <c r="Y21">
        <v>11</v>
      </c>
      <c r="Z21">
        <v>5</v>
      </c>
      <c r="AA21">
        <v>2</v>
      </c>
      <c r="AB21">
        <v>3</v>
      </c>
      <c r="AC21">
        <v>2</v>
      </c>
      <c r="AD21">
        <v>3</v>
      </c>
      <c r="AE21">
        <v>1</v>
      </c>
      <c r="AF21">
        <v>3</v>
      </c>
      <c r="AG21">
        <v>43</v>
      </c>
      <c r="AH21">
        <v>75</v>
      </c>
      <c r="AI21">
        <v>43</v>
      </c>
      <c r="AJ21">
        <v>21</v>
      </c>
      <c r="AK21">
        <v>16</v>
      </c>
      <c r="AL21">
        <v>14</v>
      </c>
      <c r="AM21">
        <v>10</v>
      </c>
      <c r="AN21">
        <v>3</v>
      </c>
      <c r="AO21">
        <v>1</v>
      </c>
      <c r="AP21">
        <v>1</v>
      </c>
      <c r="AQ21">
        <v>24</v>
      </c>
      <c r="AR21">
        <v>43</v>
      </c>
      <c r="AS21">
        <v>7</v>
      </c>
      <c r="AT21">
        <v>3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92</v>
      </c>
      <c r="BB21">
        <v>94</v>
      </c>
      <c r="BC21">
        <v>94</v>
      </c>
      <c r="BD21">
        <v>94</v>
      </c>
      <c r="BE21">
        <v>93</v>
      </c>
      <c r="BF21">
        <v>93</v>
      </c>
      <c r="BG21">
        <v>90</v>
      </c>
      <c r="BH21">
        <v>69</v>
      </c>
      <c r="BI21">
        <v>53</v>
      </c>
      <c r="BJ21">
        <v>49</v>
      </c>
      <c r="BK21">
        <v>6</v>
      </c>
      <c r="BL21">
        <v>4</v>
      </c>
      <c r="BM21">
        <v>4</v>
      </c>
      <c r="BN21">
        <v>2</v>
      </c>
      <c r="BO21">
        <v>2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87</v>
      </c>
      <c r="BV21">
        <v>91</v>
      </c>
      <c r="BW21">
        <v>18</v>
      </c>
      <c r="BX21">
        <v>8</v>
      </c>
      <c r="BY21">
        <v>8</v>
      </c>
      <c r="BZ21">
        <v>7</v>
      </c>
      <c r="CA21">
        <v>7</v>
      </c>
      <c r="CB21">
        <v>7</v>
      </c>
      <c r="CC21">
        <v>3</v>
      </c>
      <c r="CD21">
        <v>3</v>
      </c>
    </row>
    <row r="22" spans="1:82" x14ac:dyDescent="0.3">
      <c r="A22" t="s">
        <v>103</v>
      </c>
      <c r="B22" t="str">
        <f t="shared" si="0"/>
        <v>KKK Index</v>
      </c>
      <c r="C22">
        <v>20</v>
      </c>
      <c r="D22">
        <v>23</v>
      </c>
      <c r="E22">
        <v>20</v>
      </c>
      <c r="F22">
        <v>21</v>
      </c>
      <c r="G22">
        <v>20</v>
      </c>
      <c r="H22">
        <v>15</v>
      </c>
      <c r="I22">
        <v>17</v>
      </c>
      <c r="J22">
        <v>14</v>
      </c>
      <c r="K22">
        <v>13</v>
      </c>
      <c r="L22">
        <v>9</v>
      </c>
      <c r="M22">
        <v>4</v>
      </c>
      <c r="N22">
        <v>26</v>
      </c>
      <c r="O22">
        <v>25</v>
      </c>
      <c r="P22">
        <v>21</v>
      </c>
      <c r="Q22">
        <v>24</v>
      </c>
      <c r="R22">
        <v>20</v>
      </c>
      <c r="S22">
        <v>19</v>
      </c>
      <c r="T22">
        <v>28</v>
      </c>
      <c r="U22">
        <v>31</v>
      </c>
      <c r="V22">
        <v>41</v>
      </c>
      <c r="W22">
        <v>19</v>
      </c>
      <c r="X22">
        <v>21</v>
      </c>
      <c r="Y22">
        <v>19</v>
      </c>
      <c r="Z22">
        <v>20</v>
      </c>
      <c r="AA22">
        <v>16</v>
      </c>
      <c r="AB22">
        <v>14</v>
      </c>
      <c r="AC22">
        <v>17</v>
      </c>
      <c r="AD22">
        <v>17</v>
      </c>
      <c r="AE22">
        <v>16</v>
      </c>
      <c r="AF22">
        <v>15</v>
      </c>
      <c r="AG22">
        <v>8</v>
      </c>
      <c r="AH22">
        <v>9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19</v>
      </c>
      <c r="AR22">
        <v>23</v>
      </c>
      <c r="AS22">
        <v>20</v>
      </c>
      <c r="AT22">
        <v>20</v>
      </c>
      <c r="AU22">
        <v>20</v>
      </c>
      <c r="AV22">
        <v>19</v>
      </c>
      <c r="AW22">
        <v>22</v>
      </c>
      <c r="AX22">
        <v>19</v>
      </c>
      <c r="AY22">
        <v>19</v>
      </c>
      <c r="AZ22">
        <v>15</v>
      </c>
      <c r="BA22">
        <v>34</v>
      </c>
      <c r="BB22">
        <v>61</v>
      </c>
      <c r="BC22">
        <v>54</v>
      </c>
      <c r="BD22">
        <v>54</v>
      </c>
      <c r="BE22">
        <v>56</v>
      </c>
      <c r="BF22">
        <v>57</v>
      </c>
      <c r="BG22">
        <v>50</v>
      </c>
      <c r="BH22">
        <v>67</v>
      </c>
      <c r="BI22">
        <v>74</v>
      </c>
      <c r="BJ22">
        <v>87</v>
      </c>
      <c r="BK22">
        <v>33</v>
      </c>
      <c r="BL22">
        <v>36</v>
      </c>
      <c r="BM22">
        <v>28</v>
      </c>
      <c r="BN22">
        <v>18</v>
      </c>
      <c r="BO22">
        <v>15</v>
      </c>
      <c r="BP22">
        <v>15</v>
      </c>
      <c r="BQ22">
        <v>15</v>
      </c>
      <c r="BR22">
        <v>10</v>
      </c>
      <c r="BS22">
        <v>11</v>
      </c>
      <c r="BT22">
        <v>5</v>
      </c>
      <c r="BU22">
        <v>24</v>
      </c>
      <c r="BV22">
        <v>26</v>
      </c>
      <c r="BW22">
        <v>28</v>
      </c>
      <c r="BX22">
        <v>29</v>
      </c>
      <c r="BY22">
        <v>29</v>
      </c>
      <c r="BZ22">
        <v>29</v>
      </c>
      <c r="CA22">
        <v>32</v>
      </c>
      <c r="CB22">
        <v>33</v>
      </c>
      <c r="CC22">
        <v>42</v>
      </c>
      <c r="CD22">
        <v>50</v>
      </c>
    </row>
    <row r="23" spans="1:82" x14ac:dyDescent="0.3">
      <c r="A23" t="s">
        <v>104</v>
      </c>
      <c r="B23" t="str">
        <f t="shared" si="0"/>
        <v>LLL Index</v>
      </c>
      <c r="C23">
        <v>24</v>
      </c>
      <c r="D23">
        <v>29</v>
      </c>
      <c r="E23">
        <v>25</v>
      </c>
      <c r="F23">
        <v>19</v>
      </c>
      <c r="G23">
        <v>18</v>
      </c>
      <c r="H23">
        <v>19</v>
      </c>
      <c r="I23">
        <v>17</v>
      </c>
      <c r="J23">
        <v>11</v>
      </c>
      <c r="K23">
        <v>11</v>
      </c>
      <c r="L23">
        <v>8</v>
      </c>
      <c r="M23">
        <v>2</v>
      </c>
      <c r="N23">
        <v>13</v>
      </c>
      <c r="O23">
        <v>14</v>
      </c>
      <c r="P23">
        <v>8</v>
      </c>
      <c r="Q23">
        <v>8</v>
      </c>
      <c r="R23">
        <v>8</v>
      </c>
      <c r="S23">
        <v>6</v>
      </c>
      <c r="T23">
        <v>11</v>
      </c>
      <c r="U23">
        <v>8</v>
      </c>
      <c r="V23">
        <v>27</v>
      </c>
      <c r="W23">
        <v>21</v>
      </c>
      <c r="X23">
        <v>24</v>
      </c>
      <c r="Y23">
        <v>25</v>
      </c>
      <c r="Z23">
        <v>17</v>
      </c>
      <c r="AA23">
        <v>14</v>
      </c>
      <c r="AB23">
        <v>17</v>
      </c>
      <c r="AC23">
        <v>14</v>
      </c>
      <c r="AD23">
        <v>10</v>
      </c>
      <c r="AE23">
        <v>11</v>
      </c>
      <c r="AF23">
        <v>10</v>
      </c>
      <c r="AG23">
        <v>6</v>
      </c>
      <c r="AH23">
        <v>7</v>
      </c>
      <c r="AI23">
        <v>6</v>
      </c>
      <c r="AJ23">
        <v>5</v>
      </c>
      <c r="AK23">
        <v>4</v>
      </c>
      <c r="AL23">
        <v>4</v>
      </c>
      <c r="AM23">
        <v>3</v>
      </c>
      <c r="AN23">
        <v>4</v>
      </c>
      <c r="AO23">
        <v>5</v>
      </c>
      <c r="AP23">
        <v>5</v>
      </c>
      <c r="AQ23">
        <v>23</v>
      </c>
      <c r="AR23">
        <v>28</v>
      </c>
      <c r="AS23">
        <v>28</v>
      </c>
      <c r="AT23">
        <v>22</v>
      </c>
      <c r="AU23">
        <v>23</v>
      </c>
      <c r="AV23">
        <v>21</v>
      </c>
      <c r="AW23">
        <v>18</v>
      </c>
      <c r="AX23">
        <v>16</v>
      </c>
      <c r="AY23">
        <v>14</v>
      </c>
      <c r="AZ23">
        <v>10</v>
      </c>
      <c r="BA23">
        <v>11</v>
      </c>
      <c r="BB23">
        <v>29</v>
      </c>
      <c r="BC23">
        <v>28</v>
      </c>
      <c r="BD23">
        <v>27</v>
      </c>
      <c r="BE23">
        <v>27</v>
      </c>
      <c r="BF23">
        <v>25</v>
      </c>
      <c r="BG23">
        <v>29</v>
      </c>
      <c r="BH23">
        <v>50</v>
      </c>
      <c r="BI23">
        <v>53</v>
      </c>
      <c r="BJ23">
        <v>79</v>
      </c>
      <c r="BK23">
        <v>20</v>
      </c>
      <c r="BL23">
        <v>21</v>
      </c>
      <c r="BM23">
        <v>27</v>
      </c>
      <c r="BN23">
        <v>20</v>
      </c>
      <c r="BO23">
        <v>15</v>
      </c>
      <c r="BP23">
        <v>18</v>
      </c>
      <c r="BQ23">
        <v>18</v>
      </c>
      <c r="BR23">
        <v>11</v>
      </c>
      <c r="BS23">
        <v>13</v>
      </c>
      <c r="BT23">
        <v>7</v>
      </c>
      <c r="BU23">
        <v>37</v>
      </c>
      <c r="BV23">
        <v>45</v>
      </c>
      <c r="BW23">
        <v>37</v>
      </c>
      <c r="BX23">
        <v>37</v>
      </c>
      <c r="BY23">
        <v>37</v>
      </c>
      <c r="BZ23">
        <v>37</v>
      </c>
      <c r="CA23">
        <v>32</v>
      </c>
      <c r="CB23">
        <v>32</v>
      </c>
      <c r="CC23">
        <v>33</v>
      </c>
      <c r="CD23">
        <v>37</v>
      </c>
    </row>
    <row r="24" spans="1:82" x14ac:dyDescent="0.3">
      <c r="A24" t="s">
        <v>105</v>
      </c>
      <c r="B24" t="str">
        <f t="shared" si="0"/>
        <v>MMM Index</v>
      </c>
      <c r="C24">
        <v>37</v>
      </c>
      <c r="D24">
        <v>31</v>
      </c>
      <c r="E24">
        <v>18</v>
      </c>
      <c r="F24">
        <v>15</v>
      </c>
      <c r="G24">
        <v>18</v>
      </c>
      <c r="H24">
        <v>25</v>
      </c>
      <c r="I24">
        <v>21</v>
      </c>
      <c r="J24">
        <v>22</v>
      </c>
      <c r="K24">
        <v>31</v>
      </c>
      <c r="L24">
        <v>38</v>
      </c>
      <c r="M24">
        <v>15</v>
      </c>
      <c r="N24">
        <v>4</v>
      </c>
      <c r="O24">
        <v>4</v>
      </c>
      <c r="P24">
        <v>3</v>
      </c>
      <c r="Q24">
        <v>3</v>
      </c>
      <c r="R24">
        <v>5</v>
      </c>
      <c r="S24">
        <v>4</v>
      </c>
      <c r="T24">
        <v>5</v>
      </c>
      <c r="U24">
        <v>4</v>
      </c>
      <c r="V24">
        <v>2</v>
      </c>
      <c r="W24">
        <v>28</v>
      </c>
      <c r="X24">
        <v>24</v>
      </c>
      <c r="Y24">
        <v>21</v>
      </c>
      <c r="Z24">
        <v>17</v>
      </c>
      <c r="AA24">
        <v>19</v>
      </c>
      <c r="AB24">
        <v>34</v>
      </c>
      <c r="AC24">
        <v>24</v>
      </c>
      <c r="AD24">
        <v>27</v>
      </c>
      <c r="AE24">
        <v>31</v>
      </c>
      <c r="AF24">
        <v>38</v>
      </c>
      <c r="AG24">
        <v>28</v>
      </c>
      <c r="AH24">
        <v>15</v>
      </c>
      <c r="AI24">
        <v>18</v>
      </c>
      <c r="AJ24">
        <v>15</v>
      </c>
      <c r="AK24">
        <v>5</v>
      </c>
      <c r="AL24">
        <v>5</v>
      </c>
      <c r="AM24">
        <v>5</v>
      </c>
      <c r="AN24">
        <v>8</v>
      </c>
      <c r="AO24">
        <v>10</v>
      </c>
      <c r="AP24">
        <v>10</v>
      </c>
      <c r="AQ24">
        <v>32</v>
      </c>
      <c r="AR24">
        <v>30</v>
      </c>
      <c r="AS24">
        <v>18</v>
      </c>
      <c r="AT24">
        <v>15</v>
      </c>
      <c r="AU24">
        <v>17</v>
      </c>
      <c r="AV24">
        <v>23</v>
      </c>
      <c r="AW24">
        <v>21</v>
      </c>
      <c r="AX24">
        <v>21</v>
      </c>
      <c r="AY24">
        <v>27</v>
      </c>
      <c r="AZ24">
        <v>32</v>
      </c>
      <c r="BA24">
        <v>28</v>
      </c>
      <c r="BB24">
        <v>21</v>
      </c>
      <c r="BC24">
        <v>30</v>
      </c>
      <c r="BD24">
        <v>29</v>
      </c>
      <c r="BE24">
        <v>29</v>
      </c>
      <c r="BF24">
        <v>28</v>
      </c>
      <c r="BG24">
        <v>28</v>
      </c>
      <c r="BH24">
        <v>27</v>
      </c>
      <c r="BI24">
        <v>25</v>
      </c>
      <c r="BJ24">
        <v>25</v>
      </c>
      <c r="BK24">
        <v>28</v>
      </c>
      <c r="BL24">
        <v>31</v>
      </c>
      <c r="BM24">
        <v>31</v>
      </c>
      <c r="BN24">
        <v>31</v>
      </c>
      <c r="BO24">
        <v>27</v>
      </c>
      <c r="BP24">
        <v>45</v>
      </c>
      <c r="BQ24">
        <v>45</v>
      </c>
      <c r="BR24">
        <v>36</v>
      </c>
      <c r="BS24">
        <v>42</v>
      </c>
      <c r="BT24">
        <v>50</v>
      </c>
      <c r="BU24">
        <v>45</v>
      </c>
      <c r="BV24">
        <v>40</v>
      </c>
      <c r="BW24">
        <v>30</v>
      </c>
      <c r="BX24">
        <v>29</v>
      </c>
      <c r="BY24">
        <v>28</v>
      </c>
      <c r="BZ24">
        <v>27</v>
      </c>
      <c r="CA24">
        <v>28</v>
      </c>
      <c r="CB24">
        <v>29</v>
      </c>
      <c r="CC24">
        <v>28</v>
      </c>
      <c r="CD24">
        <v>27</v>
      </c>
    </row>
    <row r="25" spans="1:82" x14ac:dyDescent="0.3">
      <c r="A25" t="s">
        <v>106</v>
      </c>
      <c r="B25" t="str">
        <f t="shared" si="0"/>
        <v>NNN Index</v>
      </c>
      <c r="C25">
        <v>39</v>
      </c>
      <c r="D25">
        <v>36</v>
      </c>
      <c r="E25">
        <v>40</v>
      </c>
      <c r="F25">
        <v>41</v>
      </c>
      <c r="G25">
        <v>40</v>
      </c>
      <c r="H25">
        <v>40</v>
      </c>
      <c r="I25">
        <v>37</v>
      </c>
      <c r="J25">
        <v>34</v>
      </c>
      <c r="K25">
        <v>36</v>
      </c>
      <c r="L25">
        <v>36</v>
      </c>
      <c r="M25">
        <v>16</v>
      </c>
      <c r="N25">
        <v>10</v>
      </c>
      <c r="O25">
        <v>14</v>
      </c>
      <c r="P25">
        <v>15</v>
      </c>
      <c r="Q25">
        <v>17</v>
      </c>
      <c r="R25">
        <v>14</v>
      </c>
      <c r="S25">
        <v>13</v>
      </c>
      <c r="T25">
        <v>13</v>
      </c>
      <c r="U25">
        <v>15</v>
      </c>
      <c r="V25">
        <v>29</v>
      </c>
      <c r="W25">
        <v>39</v>
      </c>
      <c r="X25">
        <v>38</v>
      </c>
      <c r="Y25">
        <v>42</v>
      </c>
      <c r="Z25">
        <v>41</v>
      </c>
      <c r="AA25">
        <v>41</v>
      </c>
      <c r="AB25">
        <v>42</v>
      </c>
      <c r="AC25">
        <v>35</v>
      </c>
      <c r="AD25">
        <v>33</v>
      </c>
      <c r="AE25">
        <v>36</v>
      </c>
      <c r="AF25">
        <v>35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39</v>
      </c>
      <c r="AR25">
        <v>36</v>
      </c>
      <c r="AS25">
        <v>38</v>
      </c>
      <c r="AT25">
        <v>37</v>
      </c>
      <c r="AU25">
        <v>38</v>
      </c>
      <c r="AV25">
        <v>40</v>
      </c>
      <c r="AW25">
        <v>37</v>
      </c>
      <c r="AX25">
        <v>34</v>
      </c>
      <c r="AY25">
        <v>36</v>
      </c>
      <c r="AZ25">
        <v>35</v>
      </c>
      <c r="BA25">
        <v>14</v>
      </c>
      <c r="BB25">
        <v>18</v>
      </c>
      <c r="BC25">
        <v>17</v>
      </c>
      <c r="BD25">
        <v>17</v>
      </c>
      <c r="BE25">
        <v>18</v>
      </c>
      <c r="BF25">
        <v>20</v>
      </c>
      <c r="BG25">
        <v>18</v>
      </c>
      <c r="BH25">
        <v>26</v>
      </c>
      <c r="BI25">
        <v>31</v>
      </c>
      <c r="BJ25">
        <v>53</v>
      </c>
      <c r="BK25">
        <v>52</v>
      </c>
      <c r="BL25">
        <v>51</v>
      </c>
      <c r="BM25">
        <v>51</v>
      </c>
      <c r="BN25">
        <v>50</v>
      </c>
      <c r="BO25">
        <v>44</v>
      </c>
      <c r="BP25">
        <v>46</v>
      </c>
      <c r="BQ25">
        <v>47</v>
      </c>
      <c r="BR25">
        <v>34</v>
      </c>
      <c r="BS25">
        <v>42</v>
      </c>
      <c r="BT25">
        <v>38</v>
      </c>
      <c r="BU25">
        <v>40</v>
      </c>
      <c r="BV25">
        <v>36</v>
      </c>
      <c r="BW25">
        <v>39</v>
      </c>
      <c r="BX25">
        <v>38</v>
      </c>
      <c r="BY25">
        <v>38</v>
      </c>
      <c r="BZ25">
        <v>38</v>
      </c>
      <c r="CA25">
        <v>40</v>
      </c>
      <c r="CB25">
        <v>40</v>
      </c>
      <c r="CC25">
        <v>40</v>
      </c>
      <c r="CD25">
        <v>42</v>
      </c>
    </row>
    <row r="26" spans="1:82" x14ac:dyDescent="0.3">
      <c r="A26" t="s">
        <v>107</v>
      </c>
      <c r="B26" t="str">
        <f t="shared" si="0"/>
        <v>OOO Index</v>
      </c>
      <c r="C26">
        <v>32</v>
      </c>
      <c r="D26">
        <v>31</v>
      </c>
      <c r="E26">
        <v>38</v>
      </c>
      <c r="F26">
        <v>45</v>
      </c>
      <c r="G26">
        <v>41</v>
      </c>
      <c r="H26">
        <v>54</v>
      </c>
      <c r="I26">
        <v>39</v>
      </c>
      <c r="J26">
        <v>39</v>
      </c>
      <c r="K26">
        <v>37</v>
      </c>
      <c r="L26">
        <v>40</v>
      </c>
      <c r="M26">
        <v>30</v>
      </c>
      <c r="N26">
        <v>10</v>
      </c>
      <c r="O26">
        <v>17</v>
      </c>
      <c r="P26">
        <v>15</v>
      </c>
      <c r="Q26">
        <v>15</v>
      </c>
      <c r="R26">
        <v>24</v>
      </c>
      <c r="S26">
        <v>32</v>
      </c>
      <c r="T26">
        <v>37</v>
      </c>
      <c r="U26">
        <v>33</v>
      </c>
      <c r="V26">
        <v>32</v>
      </c>
      <c r="W26">
        <v>36</v>
      </c>
      <c r="X26">
        <v>30</v>
      </c>
      <c r="Y26">
        <v>41</v>
      </c>
      <c r="Z26">
        <v>47</v>
      </c>
      <c r="AA26">
        <v>43</v>
      </c>
      <c r="AB26">
        <v>55</v>
      </c>
      <c r="AC26">
        <v>31</v>
      </c>
      <c r="AD26">
        <v>27</v>
      </c>
      <c r="AE26">
        <v>25</v>
      </c>
      <c r="AF26">
        <v>32</v>
      </c>
      <c r="AG26">
        <v>60</v>
      </c>
      <c r="AH26">
        <v>77</v>
      </c>
      <c r="AI26">
        <v>77</v>
      </c>
      <c r="AJ26">
        <v>100</v>
      </c>
      <c r="AK26">
        <v>80</v>
      </c>
      <c r="AL26">
        <v>63</v>
      </c>
      <c r="AM26">
        <v>61</v>
      </c>
      <c r="AN26">
        <v>50</v>
      </c>
      <c r="AO26">
        <v>50</v>
      </c>
      <c r="AP26">
        <v>50</v>
      </c>
      <c r="AQ26">
        <v>32</v>
      </c>
      <c r="AR26">
        <v>28</v>
      </c>
      <c r="AS26">
        <v>36</v>
      </c>
      <c r="AT26">
        <v>39</v>
      </c>
      <c r="AU26">
        <v>36</v>
      </c>
      <c r="AV26">
        <v>47</v>
      </c>
      <c r="AW26">
        <v>32</v>
      </c>
      <c r="AX26">
        <v>30</v>
      </c>
      <c r="AY26">
        <v>25</v>
      </c>
      <c r="AZ26">
        <v>32</v>
      </c>
      <c r="BA26">
        <v>46</v>
      </c>
      <c r="BB26">
        <v>33</v>
      </c>
      <c r="BC26">
        <v>34</v>
      </c>
      <c r="BD26">
        <v>26</v>
      </c>
      <c r="BE26">
        <v>31</v>
      </c>
      <c r="BF26">
        <v>30</v>
      </c>
      <c r="BG26">
        <v>49</v>
      </c>
      <c r="BH26">
        <v>40</v>
      </c>
      <c r="BI26">
        <v>43</v>
      </c>
      <c r="BJ26">
        <v>55</v>
      </c>
      <c r="BK26">
        <v>46</v>
      </c>
      <c r="BL26">
        <v>46</v>
      </c>
      <c r="BM26">
        <v>56</v>
      </c>
      <c r="BN26">
        <v>64</v>
      </c>
      <c r="BO26">
        <v>59</v>
      </c>
      <c r="BP26">
        <v>67</v>
      </c>
      <c r="BQ26">
        <v>66</v>
      </c>
      <c r="BR26">
        <v>60</v>
      </c>
      <c r="BS26">
        <v>53</v>
      </c>
      <c r="BT26">
        <v>42</v>
      </c>
      <c r="BU26">
        <v>35</v>
      </c>
      <c r="BV26">
        <v>31</v>
      </c>
      <c r="BW26">
        <v>28</v>
      </c>
      <c r="BX26">
        <v>32</v>
      </c>
      <c r="BY26">
        <v>31</v>
      </c>
      <c r="BZ26">
        <v>33</v>
      </c>
      <c r="CA26">
        <v>29</v>
      </c>
      <c r="CB26">
        <v>30</v>
      </c>
      <c r="CC26">
        <v>35</v>
      </c>
      <c r="CD26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79BC-E754-428C-AE58-09CEE2E7EB61}">
  <sheetPr codeName="Sheet3"/>
  <dimension ref="A1:BZ5"/>
  <sheetViews>
    <sheetView tabSelected="1" workbookViewId="0">
      <selection activeCell="A2" sqref="A2"/>
    </sheetView>
  </sheetViews>
  <sheetFormatPr defaultRowHeight="14.4" x14ac:dyDescent="0.3"/>
  <sheetData>
    <row r="1" spans="1:78" x14ac:dyDescent="0.3">
      <c r="A1" t="str">
        <f>Reconfigured!A1</f>
        <v>Fund Name - Product Name</v>
      </c>
    </row>
    <row r="2" spans="1:78" x14ac:dyDescent="0.3">
      <c r="A2" s="2" t="s">
        <v>84</v>
      </c>
    </row>
    <row r="3" spans="1:78" ht="12" customHeight="1" x14ac:dyDescent="0.3">
      <c r="A3" t="str">
        <f>IFERROR(LEFT(Reconfigured!C1,FIND(" ",Reconfigured!C1&amp;" ")-1),"")&amp;" Percentile"</f>
        <v>Alpha Percentile</v>
      </c>
      <c r="B3" t="str">
        <f>IFERROR(LEFT(Reconfigured!D1,FIND(" ",Reconfigured!D1&amp;" ")-1),"")</f>
        <v>Alpha</v>
      </c>
      <c r="C3" t="str">
        <f>IFERROR(LEFT(Reconfigured!E1,FIND(" ",Reconfigured!E1&amp;" ")-1),"")</f>
        <v>Alpha</v>
      </c>
      <c r="D3" t="str">
        <f>IFERROR(LEFT(Reconfigured!F1,FIND(" ",Reconfigured!F1&amp;" ")-1),"")</f>
        <v>Alpha</v>
      </c>
      <c r="E3" t="str">
        <f>IFERROR(LEFT(Reconfigured!G1,FIND(" ",Reconfigured!G1&amp;" ")-1),"")</f>
        <v>Alpha</v>
      </c>
      <c r="F3" t="str">
        <f>IFERROR(LEFT(Reconfigured!H1,FIND(" ",Reconfigured!H1&amp;" ")-1),"")</f>
        <v>Alpha</v>
      </c>
      <c r="G3" t="str">
        <f>IFERROR(LEFT(Reconfigured!I1,FIND(" ",Reconfigured!I1&amp;" ")-1),"")</f>
        <v>Alpha</v>
      </c>
      <c r="H3" t="str">
        <f>IFERROR(LEFT(Reconfigured!J1,FIND(" ",Reconfigured!J1&amp;" ")-1),"")</f>
        <v>Alpha</v>
      </c>
      <c r="I3" t="str">
        <f>IFERROR(LEFT(Reconfigured!K1,FIND(" ",Reconfigured!K1&amp;" ")-1),"")</f>
        <v>Alpha</v>
      </c>
      <c r="J3" t="str">
        <f>IFERROR(LEFT(Reconfigured!L1,FIND(" ",Reconfigured!L1&amp;" ")-1),"")</f>
        <v>Alpha</v>
      </c>
      <c r="K3" t="str">
        <f>IFERROR(LEFT(Reconfigured!M1,FIND(" ",Reconfigured!M1&amp;" ")-1),"")&amp;" Percentile"</f>
        <v>IR Percentile</v>
      </c>
      <c r="L3" t="str">
        <f>IFERROR(LEFT(Reconfigured!N1,FIND(" ",Reconfigured!N1&amp;" ")-1),"")</f>
        <v>IR</v>
      </c>
      <c r="M3" t="str">
        <f>IFERROR(LEFT(Reconfigured!O1,FIND(" ",Reconfigured!O1&amp;" ")-1),"")</f>
        <v>IR</v>
      </c>
      <c r="N3" t="str">
        <f>IFERROR(LEFT(Reconfigured!P1,FIND(" ",Reconfigured!P1&amp;" ")-1),"")</f>
        <v>IR</v>
      </c>
      <c r="O3" t="str">
        <f>IFERROR(LEFT(Reconfigured!Q1,FIND(" ",Reconfigured!Q1&amp;" ")-1),"")</f>
        <v>IR</v>
      </c>
      <c r="P3" t="str">
        <f>IFERROR(LEFT(Reconfigured!R1,FIND(" ",Reconfigured!R1&amp;" ")-1),"")</f>
        <v>IR</v>
      </c>
      <c r="Q3" t="str">
        <f>IFERROR(LEFT(Reconfigured!S1,FIND(" ",Reconfigured!S1&amp;" ")-1),"")</f>
        <v>IR</v>
      </c>
      <c r="R3" t="str">
        <f>IFERROR(LEFT(Reconfigured!T1,FIND(" ",Reconfigured!T1&amp;" ")-1),"")</f>
        <v>IR</v>
      </c>
      <c r="S3" t="str">
        <f>IFERROR(LEFT(Reconfigured!U1,FIND(" ",Reconfigured!U1&amp;" ")-1),"")</f>
        <v>IR</v>
      </c>
      <c r="T3" t="str">
        <f>IFERROR(LEFT(Reconfigured!V1,FIND(" ",Reconfigured!V1&amp;" ")-1),"")</f>
        <v>IR</v>
      </c>
      <c r="U3" t="str">
        <f>IFERROR(LEFT(Reconfigured!W1,FIND(" ",Reconfigured!W1&amp;" ")-1),"")&amp;" Percentile"</f>
        <v>Sortino Percentile</v>
      </c>
      <c r="V3" t="str">
        <f>IFERROR(LEFT(Reconfigured!X1,FIND(" ",Reconfigured!X1&amp;" ")-1),"")</f>
        <v>Sortino</v>
      </c>
      <c r="W3" t="str">
        <f>IFERROR(LEFT(Reconfigured!Y1,FIND(" ",Reconfigured!Y1&amp;" ")-1),"")</f>
        <v>Sortino</v>
      </c>
      <c r="X3" t="str">
        <f>IFERROR(LEFT(Reconfigured!Z1,FIND(" ",Reconfigured!Z1&amp;" ")-1),"")</f>
        <v>Sortino</v>
      </c>
      <c r="Y3" t="str">
        <f>IFERROR(LEFT(Reconfigured!AA1,FIND(" ",Reconfigured!AA1&amp;" ")-1),"")</f>
        <v>Sortino</v>
      </c>
      <c r="Z3" t="str">
        <f>IFERROR(LEFT(Reconfigured!AB1,FIND(" ",Reconfigured!AB1&amp;" ")-1),"")</f>
        <v>Sortino</v>
      </c>
      <c r="AA3" t="str">
        <f>IFERROR(LEFT(Reconfigured!AC1,FIND(" ",Reconfigured!AC1&amp;" ")-1),"")</f>
        <v>Sortino</v>
      </c>
      <c r="AB3" t="str">
        <f>IFERROR(LEFT(Reconfigured!AD1,FIND(" ",Reconfigured!AD1&amp;" ")-1),"")</f>
        <v>Sortino</v>
      </c>
      <c r="AC3" t="str">
        <f>IFERROR(LEFT(Reconfigured!AE1,FIND(" ",Reconfigured!AE1&amp;" ")-1),"")</f>
        <v>Sortino</v>
      </c>
      <c r="AD3" t="str">
        <f>IFERROR(LEFT(Reconfigured!AF1,FIND(" ",Reconfigured!AF1&amp;" ")-1),"")</f>
        <v>Sortino</v>
      </c>
      <c r="AE3" t="str">
        <f>IFERROR(LEFT(Reconfigured!AG1,FIND(" ",Reconfigured!AG1&amp;" ")-1),"")&amp;" Percentile"</f>
        <v>Bat. Percentile</v>
      </c>
      <c r="AF3" t="str">
        <f>IFERROR(LEFT(Reconfigured!AH1,FIND(" ",Reconfigured!AH1&amp;" ")-1),"")</f>
        <v>Bat.</v>
      </c>
      <c r="AG3" t="str">
        <f>IFERROR(LEFT(Reconfigured!AI1,FIND(" ",Reconfigured!AI1&amp;" ")-1),"")</f>
        <v>Bat.</v>
      </c>
      <c r="AH3" t="str">
        <f>IFERROR(LEFT(Reconfigured!AJ1,FIND(" ",Reconfigured!AJ1&amp;" ")-1),"")</f>
        <v>Bat.</v>
      </c>
      <c r="AI3" t="str">
        <f>IFERROR(LEFT(Reconfigured!AK1,FIND(" ",Reconfigured!AK1&amp;" ")-1),"")</f>
        <v>Bat.</v>
      </c>
      <c r="AJ3" t="str">
        <f>IFERROR(LEFT(Reconfigured!AL1,FIND(" ",Reconfigured!AL1&amp;" ")-1),"")</f>
        <v>Bat.</v>
      </c>
      <c r="AK3" t="str">
        <f>IFERROR(LEFT(Reconfigured!AM1,FIND(" ",Reconfigured!AM1&amp;" ")-1),"")</f>
        <v>Bat.</v>
      </c>
      <c r="AL3" t="str">
        <f>IFERROR(LEFT(Reconfigured!AN1,FIND(" ",Reconfigured!AN1&amp;" ")-1),"")</f>
        <v>Bat.</v>
      </c>
      <c r="AM3" t="str">
        <f>IFERROR(LEFT(Reconfigured!AO1,FIND(" ",Reconfigured!AO1&amp;" ")-1),"")</f>
        <v>Bat.</v>
      </c>
      <c r="AN3" t="str">
        <f>IFERROR(LEFT(Reconfigured!AP1,FIND(" ",Reconfigured!AP1&amp;" ")-1),"")</f>
        <v>Bat.</v>
      </c>
      <c r="AO3" t="str">
        <f>IFERROR(LEFT(Reconfigured!AQ1,FIND(" ",Reconfigured!AQ1&amp;" ")-1),"")&amp;" Percentile"</f>
        <v>Excess Percentile</v>
      </c>
      <c r="AP3" t="str">
        <f>IFERROR(LEFT(Reconfigured!AR1,FIND(" ",Reconfigured!AR1&amp;" ")-1),"")</f>
        <v>Excess</v>
      </c>
      <c r="AQ3" t="str">
        <f>IFERROR(LEFT(Reconfigured!AS1,FIND(" ",Reconfigured!AS1&amp;" ")-1),"")</f>
        <v>Excess</v>
      </c>
      <c r="AR3" t="str">
        <f>IFERROR(LEFT(Reconfigured!AT1,FIND(" ",Reconfigured!AT1&amp;" ")-1),"")</f>
        <v>Excess</v>
      </c>
      <c r="AS3" t="str">
        <f>IFERROR(LEFT(Reconfigured!AU1,FIND(" ",Reconfigured!AU1&amp;" ")-1),"")</f>
        <v>Excess</v>
      </c>
      <c r="AT3" t="str">
        <f>IFERROR(LEFT(Reconfigured!AV1,FIND(" ",Reconfigured!AV1&amp;" ")-1),"")</f>
        <v>Excess</v>
      </c>
      <c r="AU3" t="str">
        <f>IFERROR(LEFT(Reconfigured!AW1,FIND(" ",Reconfigured!AW1&amp;" ")-1),"")</f>
        <v>Excess</v>
      </c>
      <c r="AV3" t="str">
        <f>IFERROR(LEFT(Reconfigured!AX1,FIND(" ",Reconfigured!AX1&amp;" ")-1),"")</f>
        <v>Excess</v>
      </c>
      <c r="AW3" t="str">
        <f>IFERROR(LEFT(Reconfigured!AY1,FIND(" ",Reconfigured!AY1&amp;" ")-1),"")</f>
        <v>Excess</v>
      </c>
      <c r="AX3" t="str">
        <f>IFERROR(LEFT(Reconfigured!AZ1,FIND(" ",Reconfigured!AZ1&amp;" ")-1),"")</f>
        <v>Excess</v>
      </c>
      <c r="AY3" t="str">
        <f>IFERROR(LEFT(Reconfigured!BA1,FIND(" ",Reconfigured!BA1&amp;" ")-1),"")&amp;" Percentile"</f>
        <v>TE Percentile</v>
      </c>
      <c r="AZ3" t="str">
        <f>IFERROR(LEFT(Reconfigured!BB1,FIND(" ",Reconfigured!BB1&amp;" ")-1),"")</f>
        <v>TE</v>
      </c>
      <c r="BA3" t="str">
        <f>IFERROR(LEFT(Reconfigured!BC1,FIND(" ",Reconfigured!BC1&amp;" ")-1),"")</f>
        <v>TE</v>
      </c>
      <c r="BB3" t="str">
        <f>IFERROR(LEFT(Reconfigured!BD1,FIND(" ",Reconfigured!BD1&amp;" ")-1),"")</f>
        <v>TE</v>
      </c>
      <c r="BC3" t="str">
        <f>IFERROR(LEFT(Reconfigured!BE1,FIND(" ",Reconfigured!BE1&amp;" ")-1),"")</f>
        <v>TE</v>
      </c>
      <c r="BD3" t="str">
        <f>IFERROR(LEFT(Reconfigured!BF1,FIND(" ",Reconfigured!BF1&amp;" ")-1),"")</f>
        <v>TE</v>
      </c>
      <c r="BE3" t="str">
        <f>IFERROR(LEFT(Reconfigured!BG1,FIND(" ",Reconfigured!BG1&amp;" ")-1),"")</f>
        <v>TE</v>
      </c>
      <c r="BF3" t="str">
        <f>IFERROR(LEFT(Reconfigured!BH1,FIND(" ",Reconfigured!BH1&amp;" ")-1),"")</f>
        <v>TE</v>
      </c>
      <c r="BG3" t="str">
        <f>IFERROR(LEFT(Reconfigured!BI1,FIND(" ",Reconfigured!BI1&amp;" ")-1),"")</f>
        <v>TE</v>
      </c>
      <c r="BH3" t="str">
        <f>IFERROR(LEFT(Reconfigured!BJ1,FIND(" ",Reconfigured!BJ1&amp;" ")-1),"")</f>
        <v>TE</v>
      </c>
      <c r="BI3" t="str">
        <f>IFERROR(LEFT(Reconfigured!BK1,FIND(" ",Reconfigured!BK1&amp;" ")-1),"")&amp;" Percentile"</f>
        <v>UMC Percentile</v>
      </c>
      <c r="BJ3" t="str">
        <f>IFERROR(LEFT(Reconfigured!BL1,FIND(" ",Reconfigured!BL1&amp;" ")-1),"")</f>
        <v>UMC</v>
      </c>
      <c r="BK3" t="str">
        <f>IFERROR(LEFT(Reconfigured!BM1,FIND(" ",Reconfigured!BM1&amp;" ")-1),"")</f>
        <v>UMC</v>
      </c>
      <c r="BL3" t="str">
        <f>IFERROR(LEFT(Reconfigured!BN1,FIND(" ",Reconfigured!BN1&amp;" ")-1),"")</f>
        <v>UMC</v>
      </c>
      <c r="BM3" t="str">
        <f>IFERROR(LEFT(Reconfigured!BO1,FIND(" ",Reconfigured!BO1&amp;" ")-1),"")</f>
        <v>UMC</v>
      </c>
      <c r="BN3" t="str">
        <f>IFERROR(LEFT(Reconfigured!BP1,FIND(" ",Reconfigured!BP1&amp;" ")-1),"")</f>
        <v>UMC</v>
      </c>
      <c r="BO3" t="str">
        <f>IFERROR(LEFT(Reconfigured!BQ1,FIND(" ",Reconfigured!BQ1&amp;" ")-1),"")</f>
        <v>UMC</v>
      </c>
      <c r="BP3" t="str">
        <f>IFERROR(LEFT(Reconfigured!BR1,FIND(" ",Reconfigured!BR1&amp;" ")-1),"")</f>
        <v>UMC</v>
      </c>
      <c r="BQ3" t="str">
        <f>IFERROR(LEFT(Reconfigured!BS1,FIND(" ",Reconfigured!BS1&amp;" ")-1),"")</f>
        <v>UMC</v>
      </c>
      <c r="BR3" t="str">
        <f>IFERROR(LEFT(Reconfigured!BT1,FIND(" ",Reconfigured!BT1&amp;" ")-1),"")</f>
        <v>UMC</v>
      </c>
      <c r="BS3" t="str">
        <f>IFERROR(LEFT(Reconfigured!BU1,FIND(" ",Reconfigured!BU1&amp;" ")-1),"")&amp;" Percentile"</f>
        <v>DMC Percentile</v>
      </c>
      <c r="BT3" t="str">
        <f>IFERROR(LEFT(Reconfigured!BV1,FIND(" ",Reconfigured!BV1&amp;" ")-1),"")</f>
        <v>DMC</v>
      </c>
      <c r="BU3" t="str">
        <f>IFERROR(LEFT(Reconfigured!BW1,FIND(" ",Reconfigured!BW1&amp;" ")-1),"")</f>
        <v>DMC</v>
      </c>
      <c r="BV3" t="str">
        <f>IFERROR(LEFT(Reconfigured!BX1,FIND(" ",Reconfigured!BX1&amp;" ")-1),"")</f>
        <v>DMC</v>
      </c>
      <c r="BW3" t="str">
        <f>IFERROR(LEFT(Reconfigured!BY1,FIND(" ",Reconfigured!BY1&amp;" ")-1),"")</f>
        <v>DMC</v>
      </c>
      <c r="BX3" t="str">
        <f>IFERROR(LEFT(Reconfigured!BZ1,FIND(" ",Reconfigured!BZ1&amp;" ")-1),"")</f>
        <v>DMC</v>
      </c>
      <c r="BY3" t="str">
        <f>IFERROR(LEFT(Reconfigured!CA1,FIND(" ",Reconfigured!CA1&amp;" ")-1),"")</f>
        <v>DMC</v>
      </c>
      <c r="BZ3" t="str">
        <f>IFERROR(LEFT(Reconfigured!CB1,FIND(" ",Reconfigured!CB1&amp;" ")-1),"")</f>
        <v>DMC</v>
      </c>
    </row>
    <row r="4" spans="1:78" x14ac:dyDescent="0.3">
      <c r="A4" s="1">
        <v>45838</v>
      </c>
      <c r="B4" s="1">
        <v>45747</v>
      </c>
      <c r="C4" s="1">
        <v>45657</v>
      </c>
      <c r="D4" s="1">
        <v>45565</v>
      </c>
      <c r="E4" s="1">
        <v>45473</v>
      </c>
      <c r="F4" s="1">
        <v>45382</v>
      </c>
      <c r="G4" s="1">
        <v>45291</v>
      </c>
      <c r="H4" s="1">
        <v>45199</v>
      </c>
      <c r="I4" s="1">
        <v>45107</v>
      </c>
      <c r="J4" s="1">
        <v>45016</v>
      </c>
      <c r="K4" s="1">
        <v>45838</v>
      </c>
      <c r="L4" s="1">
        <v>45747</v>
      </c>
      <c r="M4" s="1">
        <v>45657</v>
      </c>
      <c r="N4" s="1">
        <v>45565</v>
      </c>
      <c r="O4" s="1">
        <v>45473</v>
      </c>
      <c r="P4" s="1">
        <v>45382</v>
      </c>
      <c r="Q4" s="1">
        <v>45291</v>
      </c>
      <c r="R4" s="1">
        <v>45199</v>
      </c>
      <c r="S4" s="1">
        <v>45107</v>
      </c>
      <c r="T4" s="1">
        <v>45016</v>
      </c>
      <c r="U4" s="1">
        <v>45838</v>
      </c>
      <c r="V4" s="1">
        <v>45747</v>
      </c>
      <c r="W4" s="1">
        <v>45657</v>
      </c>
      <c r="X4" s="1">
        <v>45565</v>
      </c>
      <c r="Y4" s="1">
        <v>45473</v>
      </c>
      <c r="Z4" s="1">
        <v>45382</v>
      </c>
      <c r="AA4" s="1">
        <v>45291</v>
      </c>
      <c r="AB4" s="1">
        <v>45199</v>
      </c>
      <c r="AC4" s="1">
        <v>45107</v>
      </c>
      <c r="AD4" s="1">
        <v>45016</v>
      </c>
      <c r="AE4" s="1">
        <v>45838</v>
      </c>
      <c r="AF4" s="1">
        <v>45747</v>
      </c>
      <c r="AG4" s="1">
        <v>45657</v>
      </c>
      <c r="AH4" s="1">
        <v>45565</v>
      </c>
      <c r="AI4" s="1">
        <v>45473</v>
      </c>
      <c r="AJ4" s="1">
        <v>45382</v>
      </c>
      <c r="AK4" s="1">
        <v>45291</v>
      </c>
      <c r="AL4" s="1">
        <v>45199</v>
      </c>
      <c r="AM4" s="1">
        <v>45107</v>
      </c>
      <c r="AN4" s="1">
        <v>45016</v>
      </c>
      <c r="AO4" s="1">
        <v>45838</v>
      </c>
      <c r="AP4" s="1">
        <v>45747</v>
      </c>
      <c r="AQ4" s="1">
        <v>45657</v>
      </c>
      <c r="AR4" s="1">
        <v>45565</v>
      </c>
      <c r="AS4" s="1">
        <v>45473</v>
      </c>
      <c r="AT4" s="1">
        <v>45382</v>
      </c>
      <c r="AU4" s="1">
        <v>45291</v>
      </c>
      <c r="AV4" s="1">
        <v>45199</v>
      </c>
      <c r="AW4" s="1">
        <v>45107</v>
      </c>
      <c r="AX4" s="1">
        <v>45016</v>
      </c>
      <c r="AY4" s="1">
        <v>45838</v>
      </c>
      <c r="AZ4" s="1">
        <v>45747</v>
      </c>
      <c r="BA4" s="1">
        <v>45657</v>
      </c>
      <c r="BB4" s="1">
        <v>45565</v>
      </c>
      <c r="BC4" s="1">
        <v>45473</v>
      </c>
      <c r="BD4" s="1">
        <v>45382</v>
      </c>
      <c r="BE4" s="1">
        <v>45291</v>
      </c>
      <c r="BF4" s="1">
        <v>45199</v>
      </c>
      <c r="BG4" s="1">
        <v>45107</v>
      </c>
      <c r="BH4" s="1">
        <v>45016</v>
      </c>
      <c r="BI4" s="1">
        <v>45838</v>
      </c>
      <c r="BJ4" s="1">
        <v>45747</v>
      </c>
      <c r="BK4" s="1">
        <v>45657</v>
      </c>
      <c r="BL4" s="1">
        <v>45565</v>
      </c>
      <c r="BM4" s="1">
        <v>45473</v>
      </c>
      <c r="BN4" s="1">
        <v>45382</v>
      </c>
      <c r="BO4" s="1">
        <v>45291</v>
      </c>
      <c r="BP4" s="1">
        <v>45199</v>
      </c>
      <c r="BQ4" s="1">
        <v>45107</v>
      </c>
      <c r="BR4" s="1">
        <v>45016</v>
      </c>
      <c r="BS4" s="1">
        <v>45838</v>
      </c>
      <c r="BT4" s="1">
        <v>45747</v>
      </c>
      <c r="BU4" s="1">
        <v>45657</v>
      </c>
      <c r="BV4" s="1">
        <v>45565</v>
      </c>
      <c r="BW4" s="1">
        <v>45473</v>
      </c>
      <c r="BX4" s="1">
        <v>45382</v>
      </c>
      <c r="BY4" s="1">
        <v>45291</v>
      </c>
      <c r="BZ4" s="1">
        <v>45199</v>
      </c>
    </row>
    <row r="5" spans="1:78" x14ac:dyDescent="0.3">
      <c r="A5" cm="1">
        <f t="array" ref="A5">IFERROR(INDEX(Reconfigured!C$2:C$2500,MATCH($A$2,Reconfigured!$A$2:$A$2500,0)+ROWS($B$7:B7)-1),"")</f>
        <v>32</v>
      </c>
      <c r="B5" cm="1">
        <f t="array" ref="B5">IFERROR(INDEX(Reconfigured!D$2:D$2500,MATCH($A$2,Reconfigured!$A$2:$A$2500,0)+ROWS($B$7:C7)-1),"")</f>
        <v>63</v>
      </c>
      <c r="C5" cm="1">
        <f t="array" ref="C5">IFERROR(INDEX(Reconfigured!E$2:E$2500,MATCH($A$2,Reconfigured!$A$2:$A$2500,0)+ROWS($B$7:D7)-1),"")</f>
        <v>63</v>
      </c>
      <c r="D5" cm="1">
        <f t="array" ref="D5">IFERROR(INDEX(Reconfigured!F$2:F$2500,MATCH($A$2,Reconfigured!$A$2:$A$2500,0)+ROWS($B$7:E7)-1),"")</f>
        <v>63</v>
      </c>
      <c r="E5" cm="1">
        <f t="array" ref="E5">IFERROR(INDEX(Reconfigured!G$2:G$2500,MATCH($A$2,Reconfigured!$A$2:$A$2500,0)+ROWS($B$7:F7)-1),"")</f>
        <v>53</v>
      </c>
      <c r="F5" cm="1">
        <f t="array" ref="F5">IFERROR(INDEX(Reconfigured!H$2:H$2500,MATCH($A$2,Reconfigured!$A$2:$A$2500,0)+ROWS($B$7:G7)-1),"")</f>
        <v>59</v>
      </c>
      <c r="G5" cm="1">
        <f t="array" ref="G5">IFERROR(INDEX(Reconfigured!I$2:I$2500,MATCH($A$2,Reconfigured!$A$2:$A$2500,0)+ROWS($B$7:H7)-1),"")</f>
        <v>60</v>
      </c>
      <c r="H5" cm="1">
        <f t="array" ref="H5">IFERROR(INDEX(Reconfigured!J$2:J$2500,MATCH($A$2,Reconfigured!$A$2:$A$2500,0)+ROWS($B$7:I7)-1),"")</f>
        <v>74</v>
      </c>
      <c r="I5" cm="1">
        <f t="array" ref="I5">IFERROR(INDEX(Reconfigured!K$2:K$2500,MATCH($A$2,Reconfigured!$A$2:$A$2500,0)+ROWS($B$7:J7)-1),"")</f>
        <v>73</v>
      </c>
      <c r="J5" cm="1">
        <f t="array" ref="J5">IFERROR(INDEX(Reconfigured!L$2:L$2500,MATCH($A$2,Reconfigured!$A$2:$A$2500,0)+ROWS($B$7:K7)-1),"")</f>
        <v>75</v>
      </c>
      <c r="K5" cm="1">
        <f t="array" ref="K5">IFERROR(INDEX(Reconfigured!M$2:M$2500,MATCH($A$2,Reconfigured!$A$2:$A$2500,0)+ROWS($B$7:L7)-1),"")</f>
        <v>10</v>
      </c>
      <c r="L5" cm="1">
        <f t="array" ref="L5">IFERROR(INDEX(Reconfigured!N$2:N$2500,MATCH($A$2,Reconfigured!$A$2:$A$2500,0)+ROWS($B$7:M7)-1),"")</f>
        <v>44</v>
      </c>
      <c r="M5" cm="1">
        <f t="array" ref="M5">IFERROR(INDEX(Reconfigured!O$2:O$2500,MATCH($A$2,Reconfigured!$A$2:$A$2500,0)+ROWS($B$7:N7)-1),"")</f>
        <v>66</v>
      </c>
      <c r="N5" cm="1">
        <f t="array" ref="N5">IFERROR(INDEX(Reconfigured!P$2:P$2500,MATCH($A$2,Reconfigured!$A$2:$A$2500,0)+ROWS($B$7:O7)-1),"")</f>
        <v>79</v>
      </c>
      <c r="O5" cm="1">
        <f t="array" ref="O5">IFERROR(INDEX(Reconfigured!Q$2:Q$2500,MATCH($A$2,Reconfigured!$A$2:$A$2500,0)+ROWS($B$7:P7)-1),"")</f>
        <v>63</v>
      </c>
      <c r="P5" cm="1">
        <f t="array" ref="P5">IFERROR(INDEX(Reconfigured!R$2:R$2500,MATCH($A$2,Reconfigured!$A$2:$A$2500,0)+ROWS($B$7:Q7)-1),"")</f>
        <v>69</v>
      </c>
      <c r="Q5" cm="1">
        <f t="array" ref="Q5">IFERROR(INDEX(Reconfigured!S$2:S$2500,MATCH($A$2,Reconfigured!$A$2:$A$2500,0)+ROWS($B$7:R7)-1),"")</f>
        <v>76</v>
      </c>
      <c r="R5" cm="1">
        <f t="array" ref="R5">IFERROR(INDEX(Reconfigured!T$2:T$2500,MATCH($A$2,Reconfigured!$A$2:$A$2500,0)+ROWS($B$7:R7)-1),"")</f>
        <v>79</v>
      </c>
      <c r="S5" cm="1">
        <f t="array" ref="S5">IFERROR(INDEX(Reconfigured!U$2:U$2500,MATCH($A$2,Reconfigured!$A$2:$A$2500,0)+ROWS($B$7:T7)-1),"")</f>
        <v>84</v>
      </c>
      <c r="T5" cm="1">
        <f t="array" ref="T5">IFERROR(INDEX(Reconfigured!V$2:V$2500,MATCH($A$2,Reconfigured!$A$2:$A$2500,0)+ROWS($B$7:U7)-1),"")</f>
        <v>72</v>
      </c>
      <c r="U5" cm="1">
        <f t="array" ref="U5">IFERROR(INDEX(Reconfigured!W$2:W$2500,MATCH($A$2,Reconfigured!$A$2:$A$2500,0)+ROWS($B$7:V7)-1),"")</f>
        <v>29</v>
      </c>
      <c r="V5" cm="1">
        <f t="array" ref="V5">IFERROR(INDEX(Reconfigured!X$2:X$2500,MATCH($A$2,Reconfigured!$A$2:$A$2500,0)+ROWS($B$7:W7)-1),"")</f>
        <v>63</v>
      </c>
      <c r="W5" cm="1">
        <f t="array" ref="W5">IFERROR(INDEX(Reconfigured!Y$2:Y$2500,MATCH($A$2,Reconfigured!$A$2:$A$2500,0)+ROWS($B$7:X7)-1),"")</f>
        <v>60</v>
      </c>
      <c r="X5" cm="1">
        <f t="array" ref="X5">IFERROR(INDEX(Reconfigured!Z$2:Z$2500,MATCH($A$2,Reconfigured!$A$2:$A$2500,0)+ROWS($B$7:Y7)-1),"")</f>
        <v>63</v>
      </c>
      <c r="Y5" cm="1">
        <f t="array" ref="Y5">IFERROR(INDEX(Reconfigured!AA$2:AA$2500,MATCH($A$2,Reconfigured!$A$2:$A$2500,0)+ROWS($B$7:Z7)-1),"")</f>
        <v>45</v>
      </c>
      <c r="Z5" cm="1">
        <f t="array" ref="Z5">IFERROR(INDEX(Reconfigured!AB$2:AB$2500,MATCH($A$2,Reconfigured!$A$2:$A$2500,0)+ROWS($B$7:AA7)-1),"")</f>
        <v>56</v>
      </c>
      <c r="AA5" cm="1">
        <f t="array" ref="AA5">IFERROR(INDEX(Reconfigured!AC$2:AC$2500,MATCH($A$2,Reconfigured!$A$2:$A$2500,0)+ROWS($B$7:AB7)-1),"")</f>
        <v>49</v>
      </c>
      <c r="AB5" cm="1">
        <f t="array" ref="AB5">IFERROR(INDEX(Reconfigured!AD$2:AD$2500,MATCH($A$2,Reconfigured!$A$2:$A$2500,0)+ROWS($B$7:AC7)-1),"")</f>
        <v>68</v>
      </c>
      <c r="AC5" cm="1">
        <f t="array" ref="AC5">IFERROR(INDEX(Reconfigured!AE$2:AE$2500,MATCH($A$2,Reconfigured!$A$2:$A$2500,0)+ROWS($B$7:AD7)-1),"")</f>
        <v>73</v>
      </c>
      <c r="AD5" cm="1">
        <f t="array" ref="AD5">IFERROR(INDEX(Reconfigured!AF$2:AF$2500,MATCH($A$2,Reconfigured!$A$2:$A$2500,0)+ROWS($B$7:AE7)-1),"")</f>
        <v>77</v>
      </c>
      <c r="AE5" cm="1">
        <f t="array" ref="AE5">IFERROR(INDEX(Reconfigured!AG$2:AG$2500,MATCH($A$2,Reconfigured!$A$2:$A$2500,0)+ROWS($B$7:AF7)-1),"")</f>
        <v>6</v>
      </c>
      <c r="AF5" cm="1">
        <f t="array" ref="AF5">IFERROR(INDEX(Reconfigured!AH$2:AH$2500,MATCH($A$2,Reconfigured!$A$2:$A$2500,0)+ROWS($B$7:AG7)-1),"")</f>
        <v>24</v>
      </c>
      <c r="AG5" cm="1">
        <f t="array" ref="AG5">IFERROR(INDEX(Reconfigured!AI$2:AI$2500,MATCH($A$2,Reconfigured!$A$2:$A$2500,0)+ROWS($B$7:AH7)-1),"")</f>
        <v>32</v>
      </c>
      <c r="AH5" cm="1">
        <f t="array" ref="AH5">IFERROR(INDEX(Reconfigured!AJ$2:AJ$2500,MATCH($A$2,Reconfigured!$A$2:$A$2500,0)+ROWS($B$7:AI7)-1),"")</f>
        <v>45</v>
      </c>
      <c r="AI5" cm="1">
        <f t="array" ref="AI5">IFERROR(INDEX(Reconfigured!AK$2:AK$2500,MATCH($A$2,Reconfigured!$A$2:$A$2500,0)+ROWS($B$7:AJ7)-1),"")</f>
        <v>21</v>
      </c>
      <c r="AJ5" cm="1">
        <f t="array" ref="AJ5">IFERROR(INDEX(Reconfigured!AL$2:AL$2500,MATCH($A$2,Reconfigured!$A$2:$A$2500,0)+ROWS($B$7:AK7)-1),"")</f>
        <v>16</v>
      </c>
      <c r="AK5" cm="1">
        <f t="array" ref="AK5">IFERROR(INDEX(Reconfigured!AM$2:AM$2500,MATCH($A$2,Reconfigured!$A$2:$A$2500,0)+ROWS($B$7:AL7)-1),"")</f>
        <v>35</v>
      </c>
      <c r="AL5" cm="1">
        <f t="array" ref="AL5">IFERROR(INDEX(Reconfigured!AN$2:AN$2500,MATCH($A$2,Reconfigured!$A$2:$A$2500,0)+ROWS($B$7:AM7)-1),"")</f>
        <v>24</v>
      </c>
      <c r="AM5" cm="1">
        <f t="array" ref="AM5">IFERROR(INDEX(Reconfigured!AO$2:AO$2500,MATCH($A$2,Reconfigured!$A$2:$A$2500,0)+ROWS($B$7:AN7)-1),"")</f>
        <v>24</v>
      </c>
      <c r="AN5" cm="1">
        <f t="array" ref="AN5">IFERROR(INDEX(Reconfigured!AP$2:AP$2500,MATCH($A$2,Reconfigured!$A$2:$A$2500,0)+ROWS($B$7:AO7)-1),"")</f>
        <v>25</v>
      </c>
      <c r="AO5" cm="1">
        <f t="array" ref="AO5">IFERROR(INDEX(Reconfigured!AQ$2:AQ$2500,MATCH($A$2,Reconfigured!$A$2:$A$2500,0)+ROWS($B$7:AP7)-1),"")</f>
        <v>34</v>
      </c>
      <c r="AP5" cm="1">
        <f t="array" ref="AP5">IFERROR(INDEX(Reconfigured!AR$2:AR$2500,MATCH($A$2,Reconfigured!$A$2:$A$2500,0)+ROWS($B$7:AQ7)-1),"")</f>
        <v>63</v>
      </c>
      <c r="AQ5" cm="1">
        <f t="array" ref="AQ5">IFERROR(INDEX(Reconfigured!AS$2:AS$2500,MATCH($A$2,Reconfigured!$A$2:$A$2500,0)+ROWS($B$7:AR7)-1),"")</f>
        <v>66</v>
      </c>
      <c r="AR5" cm="1">
        <f t="array" ref="AR5">IFERROR(INDEX(Reconfigured!AT$2:AT$2500,MATCH($A$2,Reconfigured!$A$2:$A$2500,0)+ROWS($B$7:AS7)-1),"")</f>
        <v>63</v>
      </c>
      <c r="AS5" cm="1">
        <f t="array" ref="AS5">IFERROR(INDEX(Reconfigured!AU$2:AU$2500,MATCH($A$2,Reconfigured!$A$2:$A$2500,0)+ROWS($B$7:AT7)-1),"")</f>
        <v>53</v>
      </c>
      <c r="AT5" cm="1">
        <f t="array" ref="AT5">IFERROR(INDEX(Reconfigured!AV$2:AV$2500,MATCH($A$2,Reconfigured!$A$2:$A$2500,0)+ROWS($B$7:AU7)-1),"")</f>
        <v>57</v>
      </c>
      <c r="AU5" cm="1">
        <f t="array" ref="AU5">IFERROR(INDEX(Reconfigured!AW$2:AW$2500,MATCH($A$2,Reconfigured!$A$2:$A$2500,0)+ROWS($B$7:AV7)-1),"")</f>
        <v>61</v>
      </c>
      <c r="AV5" cm="1">
        <f t="array" ref="AV5">IFERROR(INDEX(Reconfigured!AX$2:AX$2500,MATCH($A$2,Reconfigured!$A$2:$A$2500,0)+ROWS($B$7:AW7)-1),"")</f>
        <v>74</v>
      </c>
      <c r="AW5" cm="1">
        <f t="array" ref="AW5">IFERROR(INDEX(Reconfigured!AY$2:AY$2500,MATCH($A$2,Reconfigured!$A$2:$A$2500,0)+ROWS($B$7:AX7)-1),"")</f>
        <v>74</v>
      </c>
      <c r="AX5" cm="1">
        <f t="array" ref="AX5">IFERROR(INDEX(Reconfigured!AZ$2:AZ$2500,MATCH($A$2,Reconfigured!$A$2:$A$2500,0)+ROWS($B$7:AY7)-1),"")</f>
        <v>73</v>
      </c>
      <c r="AY5" cm="1">
        <f t="array" ref="AY5">IFERROR(INDEX(Reconfigured!BA$2:BA$2500,MATCH($A$2,Reconfigured!$A$2:$A$2500,0)+ROWS($B$7:AZ7)-1),"")</f>
        <v>11</v>
      </c>
      <c r="AZ5" cm="1">
        <f t="array" ref="AZ5">IFERROR(INDEX(Reconfigured!BB$2:BB$2500,MATCH($A$2,Reconfigured!$A$2:$A$2500,0)+ROWS($B$7:BA7)-1),"")</f>
        <v>16</v>
      </c>
      <c r="BA5" cm="1">
        <f t="array" ref="BA5">IFERROR(INDEX(Reconfigured!BC$2:BC$2500,MATCH($A$2,Reconfigured!$A$2:$A$2500,0)+ROWS($B$7:BB7)-1),"")</f>
        <v>34</v>
      </c>
      <c r="BB5" cm="1">
        <f t="array" ref="BB5">IFERROR(INDEX(Reconfigured!BD$2:BD$2500,MATCH($A$2,Reconfigured!$A$2:$A$2500,0)+ROWS($B$7:BC7)-1),"")</f>
        <v>16</v>
      </c>
      <c r="BC5" cm="1">
        <f t="array" ref="BC5">IFERROR(INDEX(Reconfigured!BE$2:BE$2500,MATCH($A$2,Reconfigured!$A$2:$A$2500,0)+ROWS($B$7:BD7)-1),"")</f>
        <v>19</v>
      </c>
      <c r="BD5" cm="1">
        <f t="array" ref="BD5">IFERROR(INDEX(Reconfigured!BF$2:BF$2500,MATCH($A$2,Reconfigured!$A$2:$A$2500,0)+ROWS($B$7:BE7)-1),"")</f>
        <v>18</v>
      </c>
      <c r="BE5" cm="1">
        <f t="array" ref="BE5">IFERROR(INDEX(Reconfigured!BG$2:BG$2500,MATCH($A$2,Reconfigured!$A$2:$A$2500,0)+ROWS($B$7:BF7)-1),"")</f>
        <v>19</v>
      </c>
      <c r="BF5" cm="1">
        <f t="array" ref="BF5">IFERROR(INDEX(Reconfigured!BH$2:BH$2500,MATCH($A$2,Reconfigured!$A$2:$A$2500,0)+ROWS($B$7:BG7)-1),"")</f>
        <v>19</v>
      </c>
      <c r="BG5" cm="1">
        <f t="array" ref="BG5">IFERROR(INDEX(Reconfigured!BI$2:BI$2500,MATCH($A$2,Reconfigured!$A$2:$A$2500,0)+ROWS($B$7:BH7)-1),"")</f>
        <v>21</v>
      </c>
      <c r="BH5" cm="1">
        <f t="array" ref="BH5">IFERROR(INDEX(Reconfigured!BJ$2:BJ$2500,MATCH($A$2,Reconfigured!$A$2:$A$2500,0)+ROWS($B$7:BI7)-1),"")</f>
        <v>43</v>
      </c>
      <c r="BI5" cm="1">
        <f t="array" ref="BI5">IFERROR(INDEX(Reconfigured!BK$2:BK$2500,MATCH($A$2,Reconfigured!$A$2:$A$2500,0)+ROWS($B$7:BJ7)-1),"")</f>
        <v>53</v>
      </c>
      <c r="BJ5" cm="1">
        <f t="array" ref="BJ5">IFERROR(INDEX(Reconfigured!BL$2:BL$2500,MATCH($A$2,Reconfigured!$A$2:$A$2500,0)+ROWS($B$7:BK7)-1),"")</f>
        <v>65</v>
      </c>
      <c r="BK5" cm="1">
        <f t="array" ref="BK5">IFERROR(INDEX(Reconfigured!BM$2:BM$2500,MATCH($A$2,Reconfigured!$A$2:$A$2500,0)+ROWS($B$7:BL7)-1),"")</f>
        <v>53</v>
      </c>
      <c r="BL5" cm="1">
        <f t="array" ref="BL5">IFERROR(INDEX(Reconfigured!BN$2:BN$2500,MATCH($A$2,Reconfigured!$A$2:$A$2500,0)+ROWS($B$7:BM7)-1),"")</f>
        <v>42</v>
      </c>
      <c r="BM5" cm="1">
        <f t="array" ref="BM5">IFERROR(INDEX(Reconfigured!BO$2:BO$2500,MATCH($A$2,Reconfigured!$A$2:$A$2500,0)+ROWS($B$7:BN7)-1),"")</f>
        <v>21</v>
      </c>
      <c r="BN5" cm="1">
        <f t="array" ref="BN5">IFERROR(INDEX(Reconfigured!BP$2:BP$2500,MATCH($A$2,Reconfigured!$A$2:$A$2500,0)+ROWS($B$7:BO7)-1),"")</f>
        <v>18</v>
      </c>
      <c r="BO5" cm="1">
        <f t="array" ref="BO5">IFERROR(INDEX(Reconfigured!BQ$2:BQ$2500,MATCH($A$2,Reconfigured!$A$2:$A$2500,0)+ROWS($B$7:BP7)-1),"")</f>
        <v>26</v>
      </c>
      <c r="BP5" cm="1">
        <f t="array" ref="BP5">IFERROR(INDEX(Reconfigured!BR$2:BR$2500,MATCH($A$2,Reconfigured!$A$2:$A$2500,0)+ROWS($B$7:BQ7)-1),"")</f>
        <v>21</v>
      </c>
      <c r="BQ5" cm="1">
        <f t="array" ref="BQ5">IFERROR(INDEX(Reconfigured!BS$2:BS$2500,MATCH($A$2,Reconfigured!$A$2:$A$2500,0)+ROWS($B$7:BR7)-1),"")</f>
        <v>21</v>
      </c>
      <c r="BR5" cm="1">
        <f t="array" ref="BR5">IFERROR(INDEX(Reconfigured!BT$2:BT$2500,MATCH($A$2,Reconfigured!$A$2:$A$2500,0)+ROWS($B$7:BS7)-1),"")</f>
        <v>35</v>
      </c>
      <c r="BS5" cm="1">
        <f t="array" ref="BS5">IFERROR(INDEX(Reconfigured!BU$2:BU$2500,MATCH($A$2,Reconfigured!$A$2:$A$2500,0)+ROWS($B$7:BT7)-1),"")</f>
        <v>16</v>
      </c>
      <c r="BT5" cm="1">
        <f t="array" ref="BT5">IFERROR(INDEX(Reconfigured!BV$2:BV$2500,MATCH($A$2,Reconfigured!$A$2:$A$2500,0)+ROWS($B$7:BU7)-1),"")</f>
        <v>48</v>
      </c>
      <c r="BU5" cm="1">
        <f t="array" ref="BU5">IFERROR(INDEX(Reconfigured!BW$2:BW$2500,MATCH($A$2,Reconfigured!$A$2:$A$2500,0)+ROWS($B$7:BV7)-1),"")</f>
        <v>66</v>
      </c>
      <c r="BV5" cm="1">
        <f t="array" ref="BV5">IFERROR(INDEX(Reconfigured!BX$2:BX$2500,MATCH($A$2,Reconfigured!$A$2:$A$2500,0)+ROWS($B$7:BW7)-1),"")</f>
        <v>69</v>
      </c>
      <c r="BW5" cm="1">
        <f t="array" ref="BW5">IFERROR(INDEX(Reconfigured!BY$2:BY$2500,MATCH($A$2,Reconfigured!$A$2:$A$2500,0)+ROWS($B$7:BX7)-1),"")</f>
        <v>69</v>
      </c>
      <c r="BX5" cm="1">
        <f t="array" ref="BX5">IFERROR(INDEX(Reconfigured!BZ$2:BZ$2500,MATCH($A$2,Reconfigured!$A$2:$A$2500,0)+ROWS($B$7:BY7)-1),"")</f>
        <v>77</v>
      </c>
      <c r="BY5" cm="1">
        <f t="array" ref="BY5">IFERROR(INDEX(Reconfigured!CA$2:CA$2500,MATCH($A$2,Reconfigured!$A$2:$A$2500,0)+ROWS($B$7:BZ7)-1),"")</f>
        <v>79</v>
      </c>
      <c r="BZ5" cm="1">
        <f t="array" ref="BZ5">IFERROR(INDEX(Reconfigured!CB$2:CB$2500,MATCH($A$2,Reconfigured!$A$2:$A$2500,0)+ROWS($B$7:CA7)-1),"")</f>
        <v>79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71A549-3F65-4015-8A63-4058610CE16F}">
          <x14:formula1>
            <xm:f>Reconfigured!$A$3:$A$26</xm:f>
          </x14:formula1>
          <xm:sqref>A2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Reconfigured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Nasisi</dc:creator>
  <cp:lastModifiedBy>Joe Nasisi</cp:lastModifiedBy>
  <dcterms:created xsi:type="dcterms:W3CDTF">2025-07-30T15:20:47Z</dcterms:created>
  <dcterms:modified xsi:type="dcterms:W3CDTF">2025-08-12T15:03:08Z</dcterms:modified>
</cp:coreProperties>
</file>